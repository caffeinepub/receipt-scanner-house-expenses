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abin" sheetId="2" state="visible" r:id="rId4"/>
    <sheet name="Milton" sheetId="3" state="visible" r:id="rId5"/>
    <sheet name="Fife" sheetId="4" state="visible" r:id="rId6"/>
    <sheet name="Tacom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<sst xmlns="http://schemas.openxmlformats.org/spreadsheetml/2006/main" count="344" uniqueCount="99">
  <si>
    <t xml:space="preserve">Rental Income and Expenses</t>
  </si>
  <si>
    <t xml:space="preserve">Investments</t>
  </si>
  <si>
    <t xml:space="preserve">Property Address</t>
  </si>
  <si>
    <t xml:space="preserve">3305 N. Huson</t>
  </si>
  <si>
    <t xml:space="preserve">91 Alder Ct</t>
  </si>
  <si>
    <t xml:space="preserve">6621 4th St NE</t>
  </si>
  <si>
    <t xml:space="preserve">Tax Parcell 0121115002</t>
  </si>
  <si>
    <t xml:space="preserve">VMN Holdings</t>
  </si>
  <si>
    <t xml:space="preserve">Tacoma</t>
  </si>
  <si>
    <t xml:space="preserve">Milton</t>
  </si>
  <si>
    <t xml:space="preserve">Fife</t>
  </si>
  <si>
    <t xml:space="preserve">Toderashko, Maksim and Maria</t>
  </si>
  <si>
    <t xml:space="preserve">Income</t>
  </si>
  <si>
    <t xml:space="preserve">1099-MISC</t>
  </si>
  <si>
    <t xml:space="preserve">Pmt-checks</t>
  </si>
  <si>
    <t xml:space="preserve">Pmt-deposits</t>
  </si>
  <si>
    <t xml:space="preserve">Total</t>
  </si>
  <si>
    <t xml:space="preserve">Orig. Fee</t>
  </si>
  <si>
    <t xml:space="preserve">Interest</t>
  </si>
  <si>
    <t xml:space="preserve">EXPENSES</t>
  </si>
  <si>
    <t xml:space="preserve">Advertising</t>
  </si>
  <si>
    <t xml:space="preserve">Association Dues</t>
  </si>
  <si>
    <t xml:space="preserve">Auto and Travel</t>
  </si>
  <si>
    <t xml:space="preserve">Cleaning and Maintenance</t>
  </si>
  <si>
    <t xml:space="preserve">Commissions</t>
  </si>
  <si>
    <t xml:space="preserve">Gardening</t>
  </si>
  <si>
    <t xml:space="preserve">Insurance</t>
  </si>
  <si>
    <t xml:space="preserve">Legal and Proffessional Fees</t>
  </si>
  <si>
    <t xml:space="preserve">Licenses and Permits</t>
  </si>
  <si>
    <t xml:space="preserve">Management fees</t>
  </si>
  <si>
    <t xml:space="preserve">Miscellaneous</t>
  </si>
  <si>
    <t xml:space="preserve">Mortgage Interest</t>
  </si>
  <si>
    <t xml:space="preserve">Excess Mortgage Interest</t>
  </si>
  <si>
    <t xml:space="preserve">Other interest (not entered elsewhere)</t>
  </si>
  <si>
    <t xml:space="preserve">Painting and Decorating</t>
  </si>
  <si>
    <t xml:space="preserve">Pest Control</t>
  </si>
  <si>
    <t xml:space="preserve">Plumbing and Electrical</t>
  </si>
  <si>
    <t xml:space="preserve">Repairs</t>
  </si>
  <si>
    <t xml:space="preserve">Supplies</t>
  </si>
  <si>
    <t xml:space="preserve">Taxes - Real Estate</t>
  </si>
  <si>
    <t xml:space="preserve">Taxes - Other (not entered eleswhere)</t>
  </si>
  <si>
    <t xml:space="preserve">Telephone</t>
  </si>
  <si>
    <t xml:space="preserve">Wages and Salaries</t>
  </si>
  <si>
    <t xml:space="preserve">Other</t>
  </si>
  <si>
    <t xml:space="preserve">Microwave</t>
  </si>
  <si>
    <t xml:space="preserve">Total Expenses</t>
  </si>
  <si>
    <t xml:space="preserve">Cabin</t>
  </si>
  <si>
    <t xml:space="preserve">Taxes</t>
  </si>
  <si>
    <t xml:space="preserve">91 Alder Ct Milton</t>
  </si>
  <si>
    <t xml:space="preserve">Date</t>
  </si>
  <si>
    <t xml:space="preserve">Business Name</t>
  </si>
  <si>
    <t xml:space="preserve">Category</t>
  </si>
  <si>
    <t xml:space="preserve">Amount</t>
  </si>
  <si>
    <t xml:space="preserve">Harbor Freight</t>
  </si>
  <si>
    <t xml:space="preserve">Costco</t>
  </si>
  <si>
    <t xml:space="preserve">Charboneau Excavation</t>
  </si>
  <si>
    <t xml:space="preserve">Peninsula Topsoil</t>
  </si>
  <si>
    <t xml:space="preserve">Albert Lee</t>
  </si>
  <si>
    <t xml:space="preserve">Lowe's Home Centers</t>
  </si>
  <si>
    <t xml:space="preserve">The Home Depot</t>
  </si>
  <si>
    <t xml:space="preserve">Rodda Paint</t>
  </si>
  <si>
    <t xml:space="preserve">Purcor</t>
  </si>
  <si>
    <t xml:space="preserve">Plubing and Electrical</t>
  </si>
  <si>
    <t xml:space="preserve">Olivers Liquidation</t>
  </si>
  <si>
    <t xml:space="preserve">Willco</t>
  </si>
  <si>
    <t xml:space="preserve">Jet Door Moto</t>
  </si>
  <si>
    <t xml:space="preserve">Door Replacements</t>
  </si>
  <si>
    <t xml:space="preserve">Builders FirstSource</t>
  </si>
  <si>
    <t xml:space="preserve">Door Trim Replacement</t>
  </si>
  <si>
    <t xml:space="preserve">Variety Roofing and Construction</t>
  </si>
  <si>
    <t xml:space="preserve">Cash America</t>
  </si>
  <si>
    <t xml:space="preserve">6221 4th ST NE Tacoma WA</t>
  </si>
  <si>
    <t xml:space="preserve">Notes</t>
  </si>
  <si>
    <t xml:space="preserve">Batteries Plus</t>
  </si>
  <si>
    <t xml:space="preserve">O'Reilly</t>
  </si>
  <si>
    <t xml:space="preserve">Sterino Farms Produce Market</t>
  </si>
  <si>
    <t xml:space="preserve">Purty Topsoil</t>
  </si>
  <si>
    <t xml:space="preserve">Purty Transerfer Station</t>
  </si>
  <si>
    <t xml:space="preserve">Other- Repair Trash Disp</t>
  </si>
  <si>
    <t xml:space="preserve">Mutual Materials</t>
  </si>
  <si>
    <t xml:space="preserve">Bolton Insulation</t>
  </si>
  <si>
    <t xml:space="preserve">Ace Hardware</t>
  </si>
  <si>
    <t xml:space="preserve">Capital Lumber &amp; Door</t>
  </si>
  <si>
    <t xml:space="preserve">FloHawks Pluming Services</t>
  </si>
  <si>
    <t xml:space="preserve">Grainger</t>
  </si>
  <si>
    <t xml:space="preserve">G&amp;N Septic Tank</t>
  </si>
  <si>
    <t xml:space="preserve">List</t>
  </si>
  <si>
    <t xml:space="preserve">A Advanced Services</t>
  </si>
  <si>
    <t xml:space="preserve">Sterling Septic and Plumbing</t>
  </si>
  <si>
    <t xml:space="preserve">Hunt's Plumbing (Total)</t>
  </si>
  <si>
    <t xml:space="preserve">$16.50 X 12</t>
  </si>
  <si>
    <t xml:space="preserve">Floor and Décor</t>
  </si>
  <si>
    <t xml:space="preserve">01/0524</t>
  </si>
  <si>
    <t xml:space="preserve">Scott McLendon's</t>
  </si>
  <si>
    <t xml:space="preserve">Road</t>
  </si>
  <si>
    <t xml:space="preserve">3305 N Huson ST Tacoma</t>
  </si>
  <si>
    <t xml:space="preserve">Cleaning and Mainenance</t>
  </si>
  <si>
    <t xml:space="preserve">Capital Lumber</t>
  </si>
  <si>
    <t xml:space="preserve">1/2/224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</si>
</sst>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.00_);_(\$* \(#,##0.00\);_(\$* \-??_);_(@_)"/>
    <numFmt numFmtId="166" formatCode="[$-409]mmm\-yy;@"/>
    <numFmt numFmtId="167" formatCode="d\-mmm"/>
    <numFmt numFmtId="168" formatCode="m/d/yyyy"/>
    <numFmt numFmtId="169" formatCode="[$$-409]#,##0.00;[RED]\-[$$-409]#,##0.00"/>
    <numFmt numFmtId="170" formatCode="mm/dd/yyyy"/>
    <numFmt numFmtId="171" formatCode="mm/dd/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8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1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0" borderId="0" xfId="1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0" borderId="7" xfId="1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0" borderId="8" xfId="1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3" xfId="1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7" xfId="1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8" xfId="1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1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0" borderId="10" xfId="1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0" borderId="11" xfId="1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0" borderId="12" xfId="1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0" xfId="1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1" xfId="1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17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" xfId="20"/>
    <cellStyle name="Normal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5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pane xSplit="1" ySplit="4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E33" activeCellId="0" sqref="E33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1" width="12.42"/>
    <col collapsed="false" customWidth="true" hidden="false" outlineLevel="0" max="3" min="3" style="0" width="12.15"/>
    <col collapsed="false" customWidth="true" hidden="false" outlineLevel="0" max="4" min="4" style="0" width="11.43"/>
    <col collapsed="false" customWidth="true" hidden="false" outlineLevel="0" max="6" min="5" style="1" width="13.57"/>
    <col collapsed="false" customWidth="true" hidden="false" outlineLevel="0" max="7" min="7" style="0" width="11.43"/>
    <col collapsed="false" customWidth="true" hidden="false" outlineLevel="0" max="8" min="8" style="0" width="9.42"/>
    <col collapsed="false" customWidth="true" hidden="false" outlineLevel="0" max="9" min="9" style="0" width="11.71"/>
    <col collapsed="false" customWidth="true" hidden="false" outlineLevel="0" max="10" min="10" style="0" width="9.86"/>
    <col collapsed="false" customWidth="true" hidden="false" outlineLevel="0" max="11" min="11" style="0" width="10.57"/>
    <col collapsed="false" customWidth="true" hidden="false" outlineLevel="0" max="1016" min="1016" style="0" width="11.57"/>
  </cols>
  <sheetData>
    <row r="1" customFormat="false" ht="15" hidden="false" customHeight="false" outlineLevel="0" collapsed="false">
      <c r="A1" s="2"/>
      <c r="B1" s="3" t="s">
        <v>0</v>
      </c>
      <c r="C1" s="3"/>
      <c r="D1" s="3"/>
      <c r="E1" s="3"/>
      <c r="F1" s="3"/>
      <c r="G1" s="3"/>
      <c r="H1" s="4" t="s">
        <v>1</v>
      </c>
      <c r="I1" s="4"/>
      <c r="J1" s="4"/>
      <c r="K1" s="4"/>
    </row>
    <row r="2" customFormat="false" ht="15" hidden="false" customHeight="false" outlineLevel="0" collapsed="false">
      <c r="A2" s="5" t="s">
        <v>2</v>
      </c>
      <c r="B2" s="6" t="s">
        <v>3</v>
      </c>
      <c r="C2" s="7"/>
      <c r="D2" s="8"/>
      <c r="E2" s="9" t="s">
        <v>4</v>
      </c>
      <c r="F2" s="10" t="s">
        <v>5</v>
      </c>
      <c r="G2" s="11"/>
      <c r="H2" s="12" t="s">
        <v>6</v>
      </c>
      <c r="I2" s="12"/>
      <c r="J2" s="13" t="s">
        <v>7</v>
      </c>
      <c r="K2" s="13"/>
    </row>
    <row r="3" s="15" customFormat="true" ht="15" hidden="false" customHeight="false" outlineLevel="0" collapsed="false">
      <c r="A3" s="5"/>
      <c r="B3" s="14" t="s">
        <v>8</v>
      </c>
      <c r="D3" s="16"/>
      <c r="E3" s="17" t="s">
        <v>9</v>
      </c>
      <c r="F3" s="18" t="s">
        <v>10</v>
      </c>
      <c r="G3" s="19"/>
      <c r="H3" s="5" t="s">
        <v>11</v>
      </c>
      <c r="K3" s="19"/>
    </row>
    <row r="4" s="15" customFormat="true" ht="15" hidden="false" customHeight="false" outlineLevel="0" collapsed="false">
      <c r="A4" s="5" t="s">
        <v>12</v>
      </c>
      <c r="B4" s="20" t="s">
        <v>13</v>
      </c>
      <c r="C4" s="21" t="s">
        <v>14</v>
      </c>
      <c r="D4" s="22"/>
      <c r="E4" s="23" t="s">
        <v>15</v>
      </c>
      <c r="F4" s="23" t="s">
        <v>15</v>
      </c>
      <c r="G4" s="22" t="s">
        <v>16</v>
      </c>
      <c r="H4" s="20" t="s">
        <v>17</v>
      </c>
      <c r="I4" s="21" t="s">
        <v>18</v>
      </c>
      <c r="J4" s="21" t="s">
        <v>17</v>
      </c>
      <c r="K4" s="22" t="s">
        <v>18</v>
      </c>
    </row>
    <row r="5" customFormat="false" ht="15" hidden="false" customHeight="false" outlineLevel="0" collapsed="false">
      <c r="A5" s="24" t="n">
        <v>45292</v>
      </c>
      <c r="B5" s="25" t="n">
        <v>507</v>
      </c>
      <c r="C5" s="1" t="n">
        <v>2000</v>
      </c>
      <c r="D5" s="26" t="n">
        <f aca="false">SUM(B5:C5)</f>
        <v>2507</v>
      </c>
      <c r="E5" s="27" t="n">
        <v>2500</v>
      </c>
      <c r="F5" s="27" t="n">
        <v>2500</v>
      </c>
      <c r="G5" s="26"/>
      <c r="H5" s="25"/>
      <c r="I5" s="1" t="n">
        <v>1250</v>
      </c>
      <c r="J5" s="1"/>
      <c r="K5" s="26"/>
    </row>
    <row r="6" customFormat="false" ht="15" hidden="false" customHeight="false" outlineLevel="0" collapsed="false">
      <c r="A6" s="24" t="n">
        <v>45323</v>
      </c>
      <c r="B6" s="25" t="n">
        <v>577</v>
      </c>
      <c r="C6" s="1" t="n">
        <v>1458</v>
      </c>
      <c r="D6" s="26" t="n">
        <f aca="false">SUM(B6:C6)</f>
        <v>2035</v>
      </c>
      <c r="E6" s="27" t="n">
        <v>2500</v>
      </c>
      <c r="F6" s="27" t="n">
        <v>2500</v>
      </c>
      <c r="G6" s="26"/>
      <c r="H6" s="25"/>
      <c r="I6" s="1" t="n">
        <v>1250</v>
      </c>
      <c r="J6" s="1"/>
      <c r="K6" s="26"/>
    </row>
    <row r="7" customFormat="false" ht="15" hidden="false" customHeight="false" outlineLevel="0" collapsed="false">
      <c r="A7" s="24" t="n">
        <v>45352</v>
      </c>
      <c r="B7" s="25" t="n">
        <v>542</v>
      </c>
      <c r="C7" s="1" t="n">
        <v>1458</v>
      </c>
      <c r="D7" s="26" t="n">
        <f aca="false">SUM(B7:C7)</f>
        <v>2000</v>
      </c>
      <c r="E7" s="27" t="n">
        <v>2500</v>
      </c>
      <c r="F7" s="27" t="n">
        <v>2500</v>
      </c>
      <c r="G7" s="26"/>
      <c r="H7" s="25"/>
      <c r="I7" s="1" t="n">
        <v>1250</v>
      </c>
      <c r="J7" s="1"/>
      <c r="K7" s="26"/>
    </row>
    <row r="8" customFormat="false" ht="15" hidden="false" customHeight="false" outlineLevel="0" collapsed="false">
      <c r="A8" s="24" t="n">
        <v>45383</v>
      </c>
      <c r="B8" s="25" t="n">
        <v>542</v>
      </c>
      <c r="C8" s="1" t="n">
        <v>1458</v>
      </c>
      <c r="D8" s="26" t="n">
        <f aca="false">SUM(B8:C8)</f>
        <v>2000</v>
      </c>
      <c r="E8" s="27" t="n">
        <v>2500</v>
      </c>
      <c r="F8" s="27" t="n">
        <v>2500</v>
      </c>
      <c r="G8" s="26"/>
      <c r="H8" s="25"/>
      <c r="I8" s="1" t="n">
        <v>1250</v>
      </c>
      <c r="J8" s="1"/>
      <c r="K8" s="26"/>
    </row>
    <row r="9" customFormat="false" ht="15" hidden="false" customHeight="false" outlineLevel="0" collapsed="false">
      <c r="A9" s="24" t="n">
        <v>45413</v>
      </c>
      <c r="B9" s="25" t="n">
        <v>542</v>
      </c>
      <c r="C9" s="1" t="n">
        <v>1458</v>
      </c>
      <c r="D9" s="26" t="n">
        <f aca="false">SUM(B9:C9)</f>
        <v>2000</v>
      </c>
      <c r="E9" s="27" t="n">
        <v>2500</v>
      </c>
      <c r="F9" s="27" t="n">
        <v>2500</v>
      </c>
      <c r="G9" s="26"/>
      <c r="H9" s="25"/>
      <c r="I9" s="1" t="n">
        <v>1250</v>
      </c>
      <c r="J9" s="1"/>
      <c r="K9" s="26"/>
    </row>
    <row r="10" customFormat="false" ht="15" hidden="false" customHeight="false" outlineLevel="0" collapsed="false">
      <c r="A10" s="24" t="n">
        <v>45444</v>
      </c>
      <c r="B10" s="25" t="n">
        <v>542</v>
      </c>
      <c r="C10" s="1" t="n">
        <v>1458</v>
      </c>
      <c r="D10" s="26" t="n">
        <f aca="false">SUM(B10:C10)</f>
        <v>2000</v>
      </c>
      <c r="E10" s="27" t="n">
        <v>2500</v>
      </c>
      <c r="F10" s="27" t="n">
        <v>2500</v>
      </c>
      <c r="G10" s="26"/>
      <c r="H10" s="25"/>
      <c r="I10" s="1" t="n">
        <v>1250</v>
      </c>
      <c r="J10" s="1"/>
      <c r="K10" s="26"/>
    </row>
    <row r="11" customFormat="false" ht="15" hidden="false" customHeight="false" outlineLevel="0" collapsed="false">
      <c r="A11" s="24" t="n">
        <v>45474</v>
      </c>
      <c r="B11" s="25" t="n">
        <v>542</v>
      </c>
      <c r="C11" s="1" t="n">
        <v>1458</v>
      </c>
      <c r="D11" s="26" t="n">
        <f aca="false">SUM(B11:C11)</f>
        <v>2000</v>
      </c>
      <c r="E11" s="27" t="n">
        <v>2500</v>
      </c>
      <c r="F11" s="27" t="n">
        <v>2500</v>
      </c>
      <c r="G11" s="26"/>
      <c r="H11" s="25"/>
      <c r="I11" s="1" t="n">
        <v>1250</v>
      </c>
      <c r="J11" s="1"/>
      <c r="K11" s="26"/>
    </row>
    <row r="12" customFormat="false" ht="15" hidden="false" customHeight="false" outlineLevel="0" collapsed="false">
      <c r="A12" s="24" t="n">
        <v>45505</v>
      </c>
      <c r="B12" s="25" t="n">
        <v>542</v>
      </c>
      <c r="C12" s="1" t="n">
        <v>1458</v>
      </c>
      <c r="D12" s="26" t="n">
        <f aca="false">SUM(B12:C12)</f>
        <v>2000</v>
      </c>
      <c r="E12" s="27" t="n">
        <v>2500</v>
      </c>
      <c r="F12" s="27" t="n">
        <v>2500</v>
      </c>
      <c r="G12" s="26"/>
      <c r="H12" s="25"/>
      <c r="I12" s="1" t="n">
        <v>1250</v>
      </c>
      <c r="J12" s="1"/>
      <c r="K12" s="26"/>
    </row>
    <row r="13" customFormat="false" ht="15" hidden="false" customHeight="false" outlineLevel="0" collapsed="false">
      <c r="A13" s="24" t="n">
        <v>45536</v>
      </c>
      <c r="B13" s="25" t="n">
        <v>542</v>
      </c>
      <c r="C13" s="1" t="n">
        <v>1458</v>
      </c>
      <c r="D13" s="26" t="n">
        <f aca="false">SUM(B13:C13)</f>
        <v>2000</v>
      </c>
      <c r="E13" s="27" t="n">
        <v>2500</v>
      </c>
      <c r="F13" s="27" t="n">
        <v>2500</v>
      </c>
      <c r="G13" s="26"/>
      <c r="H13" s="25"/>
      <c r="I13" s="1" t="n">
        <v>1250</v>
      </c>
      <c r="J13" s="1"/>
      <c r="K13" s="26"/>
    </row>
    <row r="14" customFormat="false" ht="15" hidden="false" customHeight="false" outlineLevel="0" collapsed="false">
      <c r="A14" s="24" t="n">
        <v>45566</v>
      </c>
      <c r="B14" s="25" t="n">
        <v>542</v>
      </c>
      <c r="C14" s="1" t="n">
        <v>1458</v>
      </c>
      <c r="D14" s="26" t="n">
        <f aca="false">SUM(B14:C14)</f>
        <v>2000</v>
      </c>
      <c r="E14" s="27" t="n">
        <v>3000</v>
      </c>
      <c r="F14" s="27" t="n">
        <v>3000</v>
      </c>
      <c r="G14" s="26"/>
      <c r="H14" s="25"/>
      <c r="I14" s="1" t="n">
        <v>1250</v>
      </c>
      <c r="J14" s="1"/>
      <c r="K14" s="26"/>
    </row>
    <row r="15" customFormat="false" ht="15" hidden="false" customHeight="false" outlineLevel="0" collapsed="false">
      <c r="A15" s="24" t="n">
        <v>45597</v>
      </c>
      <c r="B15" s="25" t="n">
        <v>542</v>
      </c>
      <c r="C15" s="1" t="n">
        <v>1458</v>
      </c>
      <c r="D15" s="26" t="n">
        <f aca="false">SUM(B15:C15)</f>
        <v>2000</v>
      </c>
      <c r="E15" s="27" t="n">
        <v>3000</v>
      </c>
      <c r="F15" s="27" t="n">
        <v>3000</v>
      </c>
      <c r="G15" s="26"/>
      <c r="H15" s="25"/>
      <c r="I15" s="1" t="n">
        <v>1767.12</v>
      </c>
      <c r="J15" s="1" t="n">
        <v>0</v>
      </c>
      <c r="K15" s="28"/>
    </row>
    <row r="16" customFormat="false" ht="15" hidden="false" customHeight="false" outlineLevel="0" collapsed="false">
      <c r="A16" s="24" t="n">
        <v>45627</v>
      </c>
      <c r="B16" s="25" t="n">
        <v>542</v>
      </c>
      <c r="C16" s="1" t="n">
        <v>1458</v>
      </c>
      <c r="D16" s="26" t="n">
        <f aca="false">SUM(B16:C16)</f>
        <v>2000</v>
      </c>
      <c r="E16" s="27" t="n">
        <v>3000</v>
      </c>
      <c r="F16" s="27" t="n">
        <v>3000</v>
      </c>
      <c r="G16" s="26"/>
      <c r="H16" s="25"/>
      <c r="I16" s="1"/>
      <c r="J16" s="1"/>
      <c r="K16" s="26" t="n">
        <v>1500</v>
      </c>
    </row>
    <row r="17" s="15" customFormat="true" ht="15" hidden="false" customHeight="false" outlineLevel="0" collapsed="false">
      <c r="A17" s="5" t="s">
        <v>16</v>
      </c>
      <c r="B17" s="20" t="n">
        <f aca="false">SUM(B5:B16)</f>
        <v>6504</v>
      </c>
      <c r="C17" s="21" t="n">
        <f aca="false">SUM(C5:C16)</f>
        <v>18038</v>
      </c>
      <c r="D17" s="22" t="n">
        <f aca="false">SUM(D5:D16)</f>
        <v>24542</v>
      </c>
      <c r="E17" s="23" t="n">
        <f aca="false">SUM(E5:E16)</f>
        <v>31500</v>
      </c>
      <c r="F17" s="23" t="n">
        <f aca="false">SUM(F5:F16)</f>
        <v>31500</v>
      </c>
      <c r="G17" s="22" t="n">
        <f aca="false">D17+E17+F17</f>
        <v>87542</v>
      </c>
      <c r="H17" s="20" t="n">
        <f aca="false">SUM(H5:H16)</f>
        <v>0</v>
      </c>
      <c r="I17" s="21" t="n">
        <f aca="false">SUM(I5:I16)</f>
        <v>14267.12</v>
      </c>
      <c r="J17" s="21" t="n">
        <f aca="false">SUM(J5:J16)</f>
        <v>0</v>
      </c>
      <c r="K17" s="22" t="n">
        <f aca="false">SUM(K5:K16)</f>
        <v>1500</v>
      </c>
    </row>
    <row r="18" customFormat="false" ht="8.25" hidden="false" customHeight="true" outlineLevel="0" collapsed="false">
      <c r="A18" s="29"/>
      <c r="B18" s="25"/>
      <c r="C18" s="1"/>
      <c r="D18" s="26"/>
      <c r="E18" s="27"/>
      <c r="F18" s="27"/>
      <c r="G18" s="26"/>
      <c r="H18" s="25"/>
      <c r="I18" s="1"/>
      <c r="J18" s="1"/>
      <c r="K18" s="26"/>
      <c r="Q18" s="30"/>
    </row>
    <row r="19" customFormat="false" ht="15" hidden="false" customHeight="false" outlineLevel="0" collapsed="false">
      <c r="A19" s="5" t="s">
        <v>19</v>
      </c>
      <c r="B19" s="25"/>
      <c r="C19" s="1"/>
      <c r="D19" s="26"/>
      <c r="E19" s="27"/>
      <c r="F19" s="27"/>
      <c r="G19" s="26"/>
      <c r="H19" s="25"/>
      <c r="I19" s="1"/>
      <c r="J19" s="1"/>
      <c r="K19" s="26"/>
      <c r="Q19" s="30"/>
    </row>
    <row r="20" customFormat="false" ht="15" hidden="false" customHeight="false" outlineLevel="0" collapsed="false">
      <c r="A20" s="31" t="s">
        <v>20</v>
      </c>
      <c r="B20" s="25"/>
      <c r="C20" s="1" t="n">
        <f aca="false">Tacoma!G3</f>
        <v>0</v>
      </c>
      <c r="D20" s="26"/>
      <c r="E20" s="27" t="n">
        <f aca="false">Milton!H3</f>
        <v>0</v>
      </c>
      <c r="F20" s="27" t="n">
        <f aca="false">Fife!G4</f>
        <v>0</v>
      </c>
      <c r="G20" s="26" t="n">
        <f aca="false">SUM(B20:F20)</f>
        <v>0</v>
      </c>
      <c r="H20" s="25"/>
      <c r="I20" s="1"/>
      <c r="J20" s="1"/>
      <c r="K20" s="26"/>
    </row>
    <row r="21" customFormat="false" ht="15" hidden="false" customHeight="false" outlineLevel="0" collapsed="false">
      <c r="A21" s="31" t="s">
        <v>21</v>
      </c>
      <c r="B21" s="25"/>
      <c r="C21" s="1" t="n">
        <f aca="false">Tacoma!G4</f>
        <v>0</v>
      </c>
      <c r="D21" s="26"/>
      <c r="E21" s="27" t="n">
        <f aca="false">Milton!H4</f>
        <v>0</v>
      </c>
      <c r="F21" s="27" t="n">
        <f aca="false">Fife!G5</f>
        <v>0</v>
      </c>
      <c r="G21" s="26" t="n">
        <f aca="false">SUM(B21:F21)</f>
        <v>0</v>
      </c>
      <c r="H21" s="25"/>
      <c r="I21" s="1"/>
      <c r="J21" s="1"/>
      <c r="K21" s="26"/>
    </row>
    <row r="22" customFormat="false" ht="15" hidden="false" customHeight="false" outlineLevel="0" collapsed="false">
      <c r="A22" s="31" t="s">
        <v>22</v>
      </c>
      <c r="B22" s="25"/>
      <c r="C22" s="1" t="n">
        <f aca="false">Tacoma!G5</f>
        <v>0</v>
      </c>
      <c r="D22" s="26"/>
      <c r="E22" s="27" t="n">
        <f aca="false">Milton!H5</f>
        <v>0</v>
      </c>
      <c r="F22" s="27" t="n">
        <f aca="false">Fife!G6</f>
        <v>0</v>
      </c>
      <c r="G22" s="26" t="n">
        <f aca="false">SUM(B22:F22)</f>
        <v>0</v>
      </c>
      <c r="H22" s="25"/>
      <c r="I22" s="1"/>
      <c r="J22" s="1"/>
      <c r="K22" s="26"/>
    </row>
    <row r="23" customFormat="false" ht="15" hidden="false" customHeight="false" outlineLevel="0" collapsed="false">
      <c r="A23" s="31" t="s">
        <v>23</v>
      </c>
      <c r="B23" s="25"/>
      <c r="C23" s="1" t="n">
        <f aca="false">Tacoma!G6</f>
        <v>402.01</v>
      </c>
      <c r="D23" s="26"/>
      <c r="E23" s="27" t="n">
        <f aca="false">Milton!H6</f>
        <v>124.36</v>
      </c>
      <c r="F23" s="27" t="n">
        <f aca="false">Fife!G7</f>
        <v>0</v>
      </c>
      <c r="G23" s="26" t="n">
        <f aca="false">SUM(B23:F23)</f>
        <v>526.37</v>
      </c>
      <c r="H23" s="25"/>
      <c r="I23" s="1"/>
      <c r="J23" s="1"/>
      <c r="K23" s="26"/>
    </row>
    <row r="24" customFormat="false" ht="15" hidden="false" customHeight="false" outlineLevel="0" collapsed="false">
      <c r="A24" s="31" t="s">
        <v>24</v>
      </c>
      <c r="B24" s="25"/>
      <c r="C24" s="1" t="n">
        <f aca="false">Tacoma!G7</f>
        <v>0</v>
      </c>
      <c r="D24" s="26"/>
      <c r="E24" s="27" t="n">
        <f aca="false">Milton!H7</f>
        <v>0</v>
      </c>
      <c r="F24" s="27" t="n">
        <f aca="false">Fife!G8</f>
        <v>0</v>
      </c>
      <c r="G24" s="26" t="n">
        <f aca="false">SUM(B24:F24)</f>
        <v>0</v>
      </c>
      <c r="H24" s="25"/>
      <c r="I24" s="1"/>
      <c r="J24" s="1"/>
      <c r="K24" s="26"/>
    </row>
    <row r="25" customFormat="false" ht="15" hidden="false" customHeight="false" outlineLevel="0" collapsed="false">
      <c r="A25" s="31" t="s">
        <v>25</v>
      </c>
      <c r="B25" s="25"/>
      <c r="C25" s="1" t="n">
        <f aca="false">Tacoma!G8</f>
        <v>0</v>
      </c>
      <c r="D25" s="26"/>
      <c r="E25" s="27" t="n">
        <f aca="false">Milton!H8</f>
        <v>236.24</v>
      </c>
      <c r="F25" s="27" t="n">
        <f aca="false">Fife!G9</f>
        <v>581.85</v>
      </c>
      <c r="G25" s="26" t="n">
        <f aca="false">SUM(B25:F25)</f>
        <v>818.09</v>
      </c>
      <c r="H25" s="25"/>
      <c r="I25" s="1"/>
      <c r="J25" s="1"/>
      <c r="K25" s="26"/>
    </row>
    <row r="26" customFormat="false" ht="15" hidden="false" customHeight="false" outlineLevel="0" collapsed="false">
      <c r="A26" s="31" t="s">
        <v>26</v>
      </c>
      <c r="B26" s="25"/>
      <c r="C26" s="1" t="n">
        <f aca="false">Tacoma!G9</f>
        <v>895.78</v>
      </c>
      <c r="D26" s="26"/>
      <c r="E26" s="27" t="n">
        <f aca="false">Milton!H9</f>
        <v>982.94</v>
      </c>
      <c r="F26" s="27" t="n">
        <f aca="false">Fife!G10</f>
        <v>1206.74</v>
      </c>
      <c r="G26" s="26" t="n">
        <f aca="false">SUM(B26:F26)</f>
        <v>3085.46</v>
      </c>
      <c r="H26" s="25"/>
      <c r="I26" s="1"/>
      <c r="J26" s="1"/>
      <c r="K26" s="26"/>
    </row>
    <row r="27" customFormat="false" ht="15" hidden="false" customHeight="false" outlineLevel="0" collapsed="false">
      <c r="A27" s="31" t="s">
        <v>27</v>
      </c>
      <c r="B27" s="25"/>
      <c r="C27" s="1" t="n">
        <f aca="false">Tacoma!G10</f>
        <v>0</v>
      </c>
      <c r="D27" s="26"/>
      <c r="E27" s="27" t="n">
        <f aca="false">Milton!H10</f>
        <v>0</v>
      </c>
      <c r="F27" s="27" t="n">
        <f aca="false">Fife!G11</f>
        <v>0</v>
      </c>
      <c r="G27" s="26" t="n">
        <f aca="false">SUM(B27:F27)</f>
        <v>0</v>
      </c>
      <c r="H27" s="25"/>
      <c r="I27" s="1"/>
      <c r="J27" s="1"/>
      <c r="K27" s="26"/>
    </row>
    <row r="28" customFormat="false" ht="15" hidden="false" customHeight="false" outlineLevel="0" collapsed="false">
      <c r="A28" s="31" t="s">
        <v>28</v>
      </c>
      <c r="B28" s="25"/>
      <c r="C28" s="1" t="n">
        <f aca="false">Tacoma!G11</f>
        <v>0</v>
      </c>
      <c r="D28" s="26"/>
      <c r="E28" s="27" t="n">
        <f aca="false">Milton!H11</f>
        <v>0</v>
      </c>
      <c r="F28" s="27" t="n">
        <f aca="false">Fife!G12</f>
        <v>190</v>
      </c>
      <c r="G28" s="26" t="n">
        <f aca="false">SUM(B28:F28)</f>
        <v>190</v>
      </c>
      <c r="H28" s="25"/>
      <c r="I28" s="1"/>
      <c r="J28" s="1"/>
      <c r="K28" s="26"/>
    </row>
    <row r="29" customFormat="false" ht="15" hidden="false" customHeight="false" outlineLevel="0" collapsed="false">
      <c r="A29" s="31" t="s">
        <v>29</v>
      </c>
      <c r="B29" s="25"/>
      <c r="C29" s="1" t="n">
        <f aca="false">Tacoma!G12</f>
        <v>0</v>
      </c>
      <c r="D29" s="26"/>
      <c r="E29" s="27" t="n">
        <f aca="false">Milton!H12</f>
        <v>0</v>
      </c>
      <c r="F29" s="27" t="n">
        <f aca="false">Fife!G13</f>
        <v>0</v>
      </c>
      <c r="G29" s="26" t="n">
        <f aca="false">SUM(B29:F29)</f>
        <v>0</v>
      </c>
      <c r="H29" s="25"/>
      <c r="I29" s="1"/>
      <c r="J29" s="1"/>
      <c r="K29" s="26"/>
    </row>
    <row r="30" customFormat="false" ht="15" hidden="false" customHeight="false" outlineLevel="0" collapsed="false">
      <c r="A30" s="31" t="s">
        <v>30</v>
      </c>
      <c r="B30" s="25"/>
      <c r="C30" s="1" t="n">
        <f aca="false">Tacoma!G13</f>
        <v>0</v>
      </c>
      <c r="D30" s="26"/>
      <c r="E30" s="27" t="n">
        <f aca="false">Milton!H13</f>
        <v>0</v>
      </c>
      <c r="F30" s="27" t="n">
        <f aca="false">Fife!G14</f>
        <v>0</v>
      </c>
      <c r="G30" s="26" t="n">
        <f aca="false">SUM(B30:F30)</f>
        <v>0</v>
      </c>
      <c r="H30" s="25"/>
      <c r="I30" s="1"/>
      <c r="J30" s="1"/>
      <c r="K30" s="26"/>
    </row>
    <row r="31" customFormat="false" ht="15" hidden="false" customHeight="false" outlineLevel="0" collapsed="false">
      <c r="A31" s="31" t="s">
        <v>31</v>
      </c>
      <c r="B31" s="25"/>
      <c r="C31" s="1" t="n">
        <f aca="false">Tacoma!G14</f>
        <v>3747.53</v>
      </c>
      <c r="D31" s="26"/>
      <c r="E31" s="27" t="n">
        <f aca="false">Milton!H14</f>
        <v>2986.61</v>
      </c>
      <c r="F31" s="27" t="n">
        <f aca="false">Fife!G15</f>
        <v>9948.71</v>
      </c>
      <c r="G31" s="26" t="n">
        <f aca="false">SUM(B31:F31)</f>
        <v>16682.85</v>
      </c>
      <c r="H31" s="25"/>
      <c r="I31" s="1"/>
      <c r="J31" s="1"/>
      <c r="K31" s="26"/>
    </row>
    <row r="32" customFormat="false" ht="15" hidden="false" customHeight="false" outlineLevel="0" collapsed="false">
      <c r="A32" s="31" t="s">
        <v>32</v>
      </c>
      <c r="B32" s="25"/>
      <c r="C32" s="1" t="n">
        <f aca="false">Tacoma!G15</f>
        <v>0</v>
      </c>
      <c r="D32" s="26"/>
      <c r="E32" s="27" t="n">
        <f aca="false">Milton!H15</f>
        <v>0</v>
      </c>
      <c r="F32" s="27" t="n">
        <f aca="false">Fife!G16</f>
        <v>0</v>
      </c>
      <c r="G32" s="26" t="n">
        <f aca="false">SUM(B32:F32)</f>
        <v>0</v>
      </c>
      <c r="H32" s="25"/>
      <c r="I32" s="1"/>
      <c r="J32" s="1"/>
      <c r="K32" s="26"/>
    </row>
    <row r="33" customFormat="false" ht="15" hidden="false" customHeight="false" outlineLevel="0" collapsed="false">
      <c r="A33" s="31" t="s">
        <v>33</v>
      </c>
      <c r="B33" s="25"/>
      <c r="C33" s="1" t="n">
        <f aca="false">Tacoma!G16</f>
        <v>0</v>
      </c>
      <c r="D33" s="26"/>
      <c r="E33" s="27" t="n">
        <f aca="false">Milton!H16</f>
        <v>0</v>
      </c>
      <c r="F33" s="27" t="n">
        <f aca="false">Fife!G17</f>
        <v>0</v>
      </c>
      <c r="G33" s="26" t="n">
        <f aca="false">SUM(B33:F33)</f>
        <v>0</v>
      </c>
      <c r="H33" s="25"/>
      <c r="I33" s="1"/>
      <c r="J33" s="1"/>
      <c r="K33" s="26"/>
    </row>
    <row r="34" customFormat="false" ht="15" hidden="false" customHeight="false" outlineLevel="0" collapsed="false">
      <c r="A34" s="31" t="s">
        <v>34</v>
      </c>
      <c r="B34" s="25"/>
      <c r="C34" s="1" t="n">
        <f aca="false">Tacoma!G17</f>
        <v>0</v>
      </c>
      <c r="D34" s="26"/>
      <c r="E34" s="27" t="n">
        <f aca="false">Milton!H17</f>
        <v>170.01</v>
      </c>
      <c r="F34" s="27" t="n">
        <f aca="false">Fife!G18</f>
        <v>11565.19</v>
      </c>
      <c r="G34" s="26" t="n">
        <f aca="false">SUM(B34:F34)</f>
        <v>11735.2</v>
      </c>
      <c r="H34" s="25"/>
      <c r="I34" s="1"/>
      <c r="J34" s="1"/>
      <c r="K34" s="26"/>
    </row>
    <row r="35" customFormat="false" ht="15" hidden="false" customHeight="false" outlineLevel="0" collapsed="false">
      <c r="A35" s="31" t="s">
        <v>35</v>
      </c>
      <c r="B35" s="25"/>
      <c r="C35" s="1" t="n">
        <f aca="false">Tacoma!G18</f>
        <v>0</v>
      </c>
      <c r="D35" s="26"/>
      <c r="E35" s="27" t="n">
        <f aca="false">Milton!H18</f>
        <v>159.87</v>
      </c>
      <c r="F35" s="27" t="n">
        <f aca="false">Fife!G19</f>
        <v>0</v>
      </c>
      <c r="G35" s="26" t="n">
        <f aca="false">SUM(B35:F35)</f>
        <v>159.87</v>
      </c>
      <c r="H35" s="25"/>
      <c r="I35" s="1"/>
      <c r="J35" s="1"/>
      <c r="K35" s="26"/>
    </row>
    <row r="36" customFormat="false" ht="15" hidden="false" customHeight="false" outlineLevel="0" collapsed="false">
      <c r="A36" s="31" t="s">
        <v>36</v>
      </c>
      <c r="B36" s="25"/>
      <c r="C36" s="1" t="n">
        <f aca="false">Tacoma!G19</f>
        <v>1257.62</v>
      </c>
      <c r="D36" s="26"/>
      <c r="E36" s="27" t="n">
        <f aca="false">Milton!H19</f>
        <v>36.08</v>
      </c>
      <c r="F36" s="27" t="n">
        <f aca="false">Fife!G20</f>
        <v>0</v>
      </c>
      <c r="G36" s="26" t="n">
        <f aca="false">SUM(B36:F36)</f>
        <v>1293.7</v>
      </c>
      <c r="H36" s="25"/>
      <c r="I36" s="1"/>
      <c r="J36" s="1"/>
      <c r="K36" s="26"/>
    </row>
    <row r="37" customFormat="false" ht="15" hidden="false" customHeight="false" outlineLevel="0" collapsed="false">
      <c r="A37" s="31" t="s">
        <v>37</v>
      </c>
      <c r="B37" s="25"/>
      <c r="C37" s="1" t="n">
        <f aca="false">Tacoma!G20</f>
        <v>2931.23</v>
      </c>
      <c r="D37" s="26"/>
      <c r="E37" s="27" t="n">
        <f aca="false">Milton!H20</f>
        <v>6926.95</v>
      </c>
      <c r="F37" s="27" t="n">
        <f aca="false">Fife!G21</f>
        <v>4490.48</v>
      </c>
      <c r="G37" s="26" t="n">
        <f aca="false">SUM(B37:F37)</f>
        <v>14348.66</v>
      </c>
      <c r="H37" s="25"/>
      <c r="I37" s="1"/>
      <c r="J37" s="1"/>
      <c r="K37" s="26"/>
    </row>
    <row r="38" customFormat="false" ht="15" hidden="false" customHeight="false" outlineLevel="0" collapsed="false">
      <c r="A38" s="31" t="s">
        <v>38</v>
      </c>
      <c r="B38" s="25"/>
      <c r="C38" s="1" t="n">
        <f aca="false">Tacoma!G21</f>
        <v>0</v>
      </c>
      <c r="D38" s="26"/>
      <c r="E38" s="27" t="n">
        <f aca="false">Milton!H21</f>
        <v>0</v>
      </c>
      <c r="F38" s="27" t="n">
        <f aca="false">Fife!G22</f>
        <v>12.72</v>
      </c>
      <c r="G38" s="26" t="n">
        <f aca="false">SUM(B38:F38)</f>
        <v>12.72</v>
      </c>
      <c r="H38" s="25"/>
      <c r="I38" s="1"/>
      <c r="J38" s="1"/>
      <c r="K38" s="26"/>
    </row>
    <row r="39" customFormat="false" ht="15" hidden="false" customHeight="false" outlineLevel="0" collapsed="false">
      <c r="A39" s="31" t="s">
        <v>39</v>
      </c>
      <c r="B39" s="25"/>
      <c r="C39" s="1" t="n">
        <f aca="false">Tacoma!G22</f>
        <v>5704.08</v>
      </c>
      <c r="D39" s="26"/>
      <c r="E39" s="27" t="n">
        <f aca="false">Milton!H22</f>
        <v>5224.7</v>
      </c>
      <c r="F39" s="27" t="n">
        <f aca="false">Fife!G23</f>
        <v>7363.99</v>
      </c>
      <c r="G39" s="26" t="n">
        <f aca="false">SUM(B39:F39)</f>
        <v>18292.77</v>
      </c>
      <c r="H39" s="25"/>
      <c r="I39" s="1"/>
      <c r="J39" s="1"/>
      <c r="K39" s="26"/>
    </row>
    <row r="40" customFormat="false" ht="15" hidden="false" customHeight="false" outlineLevel="0" collapsed="false">
      <c r="A40" s="31" t="s">
        <v>40</v>
      </c>
      <c r="B40" s="25"/>
      <c r="C40" s="1" t="n">
        <f aca="false">Tacoma!G23</f>
        <v>0</v>
      </c>
      <c r="D40" s="26"/>
      <c r="E40" s="27" t="n">
        <f aca="false">Milton!H23</f>
        <v>0</v>
      </c>
      <c r="F40" s="27" t="n">
        <f aca="false">Fife!G24</f>
        <v>0</v>
      </c>
      <c r="G40" s="26" t="n">
        <f aca="false">SUM(B40:F40)</f>
        <v>0</v>
      </c>
      <c r="H40" s="25"/>
      <c r="I40" s="1"/>
      <c r="J40" s="1"/>
      <c r="K40" s="26"/>
    </row>
    <row r="41" customFormat="false" ht="15" hidden="false" customHeight="false" outlineLevel="0" collapsed="false">
      <c r="A41" s="31" t="s">
        <v>41</v>
      </c>
      <c r="B41" s="25"/>
      <c r="C41" s="1" t="n">
        <f aca="false">Tacoma!G24</f>
        <v>0</v>
      </c>
      <c r="D41" s="26"/>
      <c r="E41" s="27" t="n">
        <f aca="false">Milton!H24</f>
        <v>0</v>
      </c>
      <c r="F41" s="27" t="n">
        <f aca="false">Fife!G25</f>
        <v>0</v>
      </c>
      <c r="G41" s="26" t="n">
        <f aca="false">SUM(B41:F41)</f>
        <v>0</v>
      </c>
      <c r="H41" s="25"/>
      <c r="I41" s="1"/>
      <c r="J41" s="1"/>
      <c r="K41" s="26"/>
    </row>
    <row r="42" customFormat="false" ht="15" hidden="false" customHeight="false" outlineLevel="0" collapsed="false">
      <c r="A42" s="31" t="s">
        <v>42</v>
      </c>
      <c r="B42" s="25"/>
      <c r="C42" s="1" t="n">
        <f aca="false">Tacoma!G25</f>
        <v>0</v>
      </c>
      <c r="D42" s="26"/>
      <c r="E42" s="27" t="n">
        <f aca="false">Milton!H25</f>
        <v>0</v>
      </c>
      <c r="F42" s="27" t="n">
        <f aca="false">Fife!G26</f>
        <v>0</v>
      </c>
      <c r="G42" s="26" t="n">
        <f aca="false">SUM(B42:F42)</f>
        <v>0</v>
      </c>
      <c r="H42" s="25"/>
      <c r="I42" s="1"/>
      <c r="J42" s="1"/>
      <c r="K42" s="26"/>
    </row>
    <row r="43" customFormat="false" ht="15" hidden="false" customHeight="false" outlineLevel="0" collapsed="false">
      <c r="A43" s="31" t="s">
        <v>43</v>
      </c>
      <c r="B43" s="25"/>
      <c r="C43" s="1" t="n">
        <f aca="false">Tacoma!G26</f>
        <v>0</v>
      </c>
      <c r="D43" s="26"/>
      <c r="F43" s="27" t="n">
        <f aca="false">Fife!G27</f>
        <v>105.06</v>
      </c>
      <c r="G43" s="26"/>
      <c r="H43" s="25"/>
      <c r="I43" s="1"/>
      <c r="J43" s="1"/>
      <c r="K43" s="26"/>
    </row>
    <row r="44" customFormat="false" ht="15" hidden="false" customHeight="false" outlineLevel="0" collapsed="false">
      <c r="A44" s="32" t="s">
        <v>44</v>
      </c>
      <c r="B44" s="25"/>
      <c r="C44" s="1"/>
      <c r="D44" s="26"/>
      <c r="E44" s="27" t="n">
        <f aca="false">Milton!H27</f>
        <v>2642.38</v>
      </c>
      <c r="F44" s="27"/>
      <c r="G44" s="26"/>
      <c r="H44" s="25"/>
      <c r="I44" s="1"/>
      <c r="J44" s="1"/>
      <c r="K44" s="26"/>
    </row>
    <row r="45" s="15" customFormat="true" ht="15" hidden="false" customHeight="false" outlineLevel="0" collapsed="false">
      <c r="A45" s="33" t="s">
        <v>45</v>
      </c>
      <c r="B45" s="34"/>
      <c r="C45" s="35" t="n">
        <f aca="false">SUM(C20:C43)</f>
        <v>14938.25</v>
      </c>
      <c r="D45" s="36" t="n">
        <f aca="false">SUM(D20:D43)</f>
        <v>0</v>
      </c>
      <c r="E45" s="37" t="n">
        <f aca="false">SUM(E20:E44)</f>
        <v>19490.14</v>
      </c>
      <c r="F45" s="37" t="n">
        <f aca="false">SUM(F20:F43)</f>
        <v>35464.74</v>
      </c>
      <c r="G45" s="36" t="n">
        <f aca="false">SUM(G20:G43)</f>
        <v>67145.69</v>
      </c>
      <c r="H45" s="34"/>
      <c r="I45" s="38"/>
      <c r="J45" s="38"/>
      <c r="K45" s="39"/>
    </row>
  </sheetData>
  <mergeCells count="4">
    <mergeCell ref="B1:G1"/>
    <mergeCell ref="H1:K1"/>
    <mergeCell ref="H2:I2"/>
    <mergeCell ref="J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false" rightToLeft="false" tabSelected="false" showOutlineSymbols="true" defaultGridColor="true" view="normal" topLeftCell="A1" colorId="64" zoomScale="130" zoomScaleNormal="130" zoomScalePageLayoutView="100" workbookViewId="0">
      <selection pane="topLeft" activeCell="B2" activeCellId="0" sqref="B2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46</v>
      </c>
    </row>
    <row r="2" customFormat="false" ht="15" hidden="false" customHeight="false" outlineLevel="0" collapsed="false">
      <c r="A2" s="0" t="s">
        <v>18</v>
      </c>
      <c r="B2" s="0" t="n">
        <f aca="false">13094.35+2569.2</f>
        <v>15663.55</v>
      </c>
    </row>
    <row r="3" customFormat="false" ht="15" hidden="false" customHeight="false" outlineLevel="0" collapsed="false">
      <c r="A3" s="0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8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1.5703125" defaultRowHeight="15" customHeight="true" zeroHeight="false" outlineLevelRow="0" outlineLevelCol="0"/>
  <cols>
    <col collapsed="false" customWidth="false" hidden="false" outlineLevel="0" max="1" min="1" style="40" width="11.57"/>
    <col collapsed="false" customWidth="true" hidden="false" outlineLevel="0" max="2" min="2" style="41" width="23.71"/>
    <col collapsed="false" customWidth="true" hidden="false" outlineLevel="0" max="3" min="3" style="41" width="24.86"/>
    <col collapsed="false" customWidth="false" hidden="false" outlineLevel="0" max="4" min="4" style="1" width="11.57"/>
    <col collapsed="false" customWidth="true" hidden="false" outlineLevel="0" max="5" min="5" style="0" width="23.42"/>
    <col collapsed="false" customWidth="true" hidden="false" outlineLevel="0" max="7" min="7" style="42" width="36.71"/>
  </cols>
  <sheetData>
    <row r="1" customFormat="false" ht="15" hidden="false" customHeight="false" outlineLevel="0" collapsed="false">
      <c r="A1" s="43" t="s">
        <v>48</v>
      </c>
    </row>
    <row r="2" customFormat="false" ht="15" hidden="false" customHeight="false" outlineLevel="0" collapsed="false">
      <c r="A2" s="44" t="s">
        <v>49</v>
      </c>
      <c r="B2" s="45" t="s">
        <v>50</v>
      </c>
      <c r="C2" s="45" t="s">
        <v>51</v>
      </c>
      <c r="D2" s="46" t="s">
        <v>52</v>
      </c>
      <c r="G2" s="47"/>
    </row>
    <row r="3" customFormat="false" ht="15" hidden="false" customHeight="false" outlineLevel="0" collapsed="false">
      <c r="A3" s="40" t="n">
        <v>45632</v>
      </c>
      <c r="B3" s="41" t="s">
        <v>53</v>
      </c>
      <c r="C3" s="41" t="s">
        <v>23</v>
      </c>
      <c r="D3" s="1" t="n">
        <v>89.45</v>
      </c>
      <c r="E3" s="41"/>
      <c r="F3" s="48"/>
      <c r="G3" s="42" t="s">
        <v>20</v>
      </c>
    </row>
    <row r="4" customFormat="false" ht="15" hidden="false" customHeight="false" outlineLevel="0" collapsed="false">
      <c r="A4" s="40" t="n">
        <v>45635</v>
      </c>
      <c r="B4" s="41" t="s">
        <v>53</v>
      </c>
      <c r="C4" s="41" t="s">
        <v>23</v>
      </c>
      <c r="D4" s="1" t="n">
        <v>34.91</v>
      </c>
      <c r="E4" s="41"/>
      <c r="F4" s="48"/>
      <c r="G4" s="42" t="s">
        <v>21</v>
      </c>
    </row>
    <row r="5" customFormat="false" ht="15" hidden="false" customHeight="false" outlineLevel="0" collapsed="false">
      <c r="A5" s="40" t="n">
        <v>45380</v>
      </c>
      <c r="B5" s="41" t="s">
        <v>54</v>
      </c>
      <c r="C5" s="41" t="s">
        <v>25</v>
      </c>
      <c r="D5" s="1" t="n">
        <v>33.99</v>
      </c>
      <c r="E5" s="41"/>
      <c r="F5" s="48"/>
      <c r="G5" s="42" t="s">
        <v>22</v>
      </c>
    </row>
    <row r="6" customFormat="false" ht="15" hidden="false" customHeight="false" outlineLevel="0" collapsed="false">
      <c r="A6" s="40" t="n">
        <v>45491</v>
      </c>
      <c r="B6" s="41" t="s">
        <v>55</v>
      </c>
      <c r="C6" s="41" t="s">
        <v>25</v>
      </c>
      <c r="D6" s="1" t="n">
        <v>108.35</v>
      </c>
      <c r="F6" s="48"/>
      <c r="G6" s="42" t="s">
        <v>23</v>
      </c>
      <c r="H6" s="49" t="n">
        <f aca="false">SUM(D3:D4)</f>
        <v>124.36</v>
      </c>
    </row>
    <row r="7" customFormat="false" ht="15" hidden="false" customHeight="false" outlineLevel="0" collapsed="false">
      <c r="A7" s="40" t="n">
        <v>45544</v>
      </c>
      <c r="B7" s="41" t="s">
        <v>56</v>
      </c>
      <c r="C7" s="41" t="s">
        <v>25</v>
      </c>
      <c r="D7" s="1" t="n">
        <v>93.9</v>
      </c>
      <c r="F7" s="48"/>
      <c r="G7" s="42" t="s">
        <v>24</v>
      </c>
    </row>
    <row r="8" customFormat="false" ht="15" hidden="false" customHeight="false" outlineLevel="0" collapsed="false">
      <c r="A8" s="40" t="n">
        <v>45471</v>
      </c>
      <c r="B8" s="41" t="s">
        <v>57</v>
      </c>
      <c r="C8" s="41" t="s">
        <v>43</v>
      </c>
      <c r="D8" s="1" t="n">
        <v>2642.38</v>
      </c>
      <c r="E8" s="0" t="s">
        <v>44</v>
      </c>
      <c r="F8" s="48"/>
      <c r="G8" s="42" t="s">
        <v>25</v>
      </c>
      <c r="H8" s="49" t="n">
        <f aca="false">SUM(D5:D7)</f>
        <v>236.24</v>
      </c>
    </row>
    <row r="9" customFormat="false" ht="15" hidden="false" customHeight="false" outlineLevel="0" collapsed="false">
      <c r="A9" s="40" t="n">
        <v>45463</v>
      </c>
      <c r="B9" s="41" t="s">
        <v>58</v>
      </c>
      <c r="C9" s="41" t="s">
        <v>34</v>
      </c>
      <c r="D9" s="1" t="n">
        <v>12.75</v>
      </c>
      <c r="E9" s="41"/>
      <c r="F9" s="48"/>
      <c r="G9" s="42" t="s">
        <v>26</v>
      </c>
      <c r="H9" s="1" t="n">
        <v>982.94</v>
      </c>
    </row>
    <row r="10" customFormat="false" ht="15" hidden="false" customHeight="false" outlineLevel="0" collapsed="false">
      <c r="A10" s="40" t="n">
        <v>45411</v>
      </c>
      <c r="B10" s="41" t="s">
        <v>59</v>
      </c>
      <c r="C10" s="41" t="s">
        <v>34</v>
      </c>
      <c r="D10" s="1" t="n">
        <v>17.62</v>
      </c>
      <c r="G10" s="42" t="s">
        <v>27</v>
      </c>
    </row>
    <row r="11" customFormat="false" ht="15" hidden="false" customHeight="false" outlineLevel="0" collapsed="false">
      <c r="A11" s="40" t="n">
        <v>45520</v>
      </c>
      <c r="B11" s="41" t="s">
        <v>60</v>
      </c>
      <c r="C11" s="41" t="s">
        <v>34</v>
      </c>
      <c r="D11" s="1" t="n">
        <v>139.64</v>
      </c>
      <c r="F11" s="48"/>
      <c r="G11" s="42" t="s">
        <v>28</v>
      </c>
    </row>
    <row r="12" customFormat="false" ht="15" hidden="false" customHeight="false" outlineLevel="0" collapsed="false">
      <c r="B12" s="41" t="s">
        <v>61</v>
      </c>
      <c r="C12" s="41" t="s">
        <v>35</v>
      </c>
      <c r="D12" s="1" t="n">
        <v>159.87</v>
      </c>
      <c r="F12" s="48"/>
      <c r="G12" s="42" t="s">
        <v>29</v>
      </c>
    </row>
    <row r="13" customFormat="false" ht="15" hidden="false" customHeight="false" outlineLevel="0" collapsed="false">
      <c r="A13" s="40" t="n">
        <v>45299</v>
      </c>
      <c r="B13" s="41" t="s">
        <v>59</v>
      </c>
      <c r="C13" s="41" t="s">
        <v>62</v>
      </c>
      <c r="D13" s="1" t="n">
        <v>36.08</v>
      </c>
      <c r="E13" s="41"/>
      <c r="G13" s="42" t="s">
        <v>30</v>
      </c>
    </row>
    <row r="14" customFormat="false" ht="15" hidden="false" customHeight="false" outlineLevel="0" collapsed="false">
      <c r="A14" s="40" t="n">
        <v>45561</v>
      </c>
      <c r="B14" s="41" t="s">
        <v>63</v>
      </c>
      <c r="C14" s="41" t="s">
        <v>37</v>
      </c>
      <c r="D14" s="1" t="n">
        <v>62.87</v>
      </c>
      <c r="E14" s="41"/>
      <c r="G14" s="42" t="s">
        <v>31</v>
      </c>
      <c r="H14" s="1" t="n">
        <v>2986.61</v>
      </c>
    </row>
    <row r="15" customFormat="false" ht="15" hidden="false" customHeight="false" outlineLevel="0" collapsed="false">
      <c r="A15" s="40" t="n">
        <v>45475</v>
      </c>
      <c r="B15" s="41" t="s">
        <v>53</v>
      </c>
      <c r="C15" s="41" t="s">
        <v>37</v>
      </c>
      <c r="D15" s="1" t="n">
        <v>115.66</v>
      </c>
      <c r="E15" s="41"/>
      <c r="G15" s="42" t="s">
        <v>32</v>
      </c>
    </row>
    <row r="16" customFormat="false" ht="15" hidden="false" customHeight="false" outlineLevel="0" collapsed="false">
      <c r="A16" s="40" t="n">
        <v>45315</v>
      </c>
      <c r="B16" s="41" t="s">
        <v>59</v>
      </c>
      <c r="C16" s="41" t="s">
        <v>37</v>
      </c>
      <c r="D16" s="1" t="n">
        <v>208.73</v>
      </c>
      <c r="F16" s="48"/>
      <c r="G16" s="42" t="s">
        <v>33</v>
      </c>
    </row>
    <row r="17" customFormat="false" ht="15" hidden="false" customHeight="false" outlineLevel="0" collapsed="false">
      <c r="A17" s="40" t="n">
        <v>45319</v>
      </c>
      <c r="B17" s="41" t="s">
        <v>59</v>
      </c>
      <c r="C17" s="41" t="s">
        <v>37</v>
      </c>
      <c r="D17" s="1" t="n">
        <v>19.57</v>
      </c>
      <c r="G17" s="42" t="s">
        <v>34</v>
      </c>
      <c r="H17" s="49" t="n">
        <f aca="false">SUM(D9:D11)</f>
        <v>170.01</v>
      </c>
    </row>
    <row r="18" customFormat="false" ht="15" hidden="false" customHeight="false" outlineLevel="0" collapsed="false">
      <c r="A18" s="40" t="n">
        <v>45321</v>
      </c>
      <c r="B18" s="41" t="s">
        <v>59</v>
      </c>
      <c r="C18" s="41" t="s">
        <v>37</v>
      </c>
      <c r="D18" s="1" t="n">
        <v>87.72</v>
      </c>
      <c r="G18" s="42" t="s">
        <v>35</v>
      </c>
      <c r="H18" s="49" t="n">
        <f aca="false">D12</f>
        <v>159.87</v>
      </c>
    </row>
    <row r="19" customFormat="false" ht="15" hidden="false" customHeight="false" outlineLevel="0" collapsed="false">
      <c r="A19" s="40" t="n">
        <v>45334</v>
      </c>
      <c r="B19" s="41" t="s">
        <v>59</v>
      </c>
      <c r="C19" s="41" t="s">
        <v>37</v>
      </c>
      <c r="D19" s="1" t="n">
        <v>703.08</v>
      </c>
      <c r="G19" s="42" t="s">
        <v>36</v>
      </c>
      <c r="H19" s="49" t="n">
        <f aca="false">D13</f>
        <v>36.08</v>
      </c>
    </row>
    <row r="20" customFormat="false" ht="15" hidden="false" customHeight="false" outlineLevel="0" collapsed="false">
      <c r="A20" s="40" t="n">
        <v>45322</v>
      </c>
      <c r="B20" s="41" t="s">
        <v>59</v>
      </c>
      <c r="C20" s="41" t="s">
        <v>37</v>
      </c>
      <c r="D20" s="1" t="n">
        <v>16.6</v>
      </c>
      <c r="F20" s="48"/>
      <c r="G20" s="42" t="s">
        <v>37</v>
      </c>
      <c r="H20" s="49" t="n">
        <f aca="false">SUM(D14:D27)</f>
        <v>6926.95</v>
      </c>
    </row>
    <row r="21" customFormat="false" ht="15" hidden="false" customHeight="false" outlineLevel="0" collapsed="false">
      <c r="A21" s="40" t="n">
        <v>45446</v>
      </c>
      <c r="B21" s="41" t="s">
        <v>64</v>
      </c>
      <c r="C21" s="41" t="s">
        <v>37</v>
      </c>
      <c r="D21" s="1" t="n">
        <v>17.28</v>
      </c>
      <c r="G21" s="42" t="s">
        <v>38</v>
      </c>
    </row>
    <row r="22" customFormat="false" ht="15" hidden="false" customHeight="false" outlineLevel="0" collapsed="false">
      <c r="A22" s="40" t="n">
        <v>45357</v>
      </c>
      <c r="B22" s="41" t="s">
        <v>65</v>
      </c>
      <c r="C22" s="41" t="s">
        <v>37</v>
      </c>
      <c r="D22" s="1" t="n">
        <v>3507.23</v>
      </c>
      <c r="E22" s="0" t="s">
        <v>66</v>
      </c>
      <c r="F22" s="48"/>
      <c r="G22" s="42" t="s">
        <v>39</v>
      </c>
      <c r="H22" s="1" t="n">
        <v>5224.7</v>
      </c>
    </row>
    <row r="23" customFormat="false" ht="15" hidden="false" customHeight="false" outlineLevel="0" collapsed="false">
      <c r="A23" s="40" t="n">
        <v>45359</v>
      </c>
      <c r="B23" s="41" t="s">
        <v>67</v>
      </c>
      <c r="C23" s="41" t="s">
        <v>37</v>
      </c>
      <c r="D23" s="1" t="n">
        <v>23.73</v>
      </c>
      <c r="F23" s="48"/>
      <c r="G23" s="42" t="s">
        <v>40</v>
      </c>
    </row>
    <row r="24" customFormat="false" ht="15" hidden="false" customHeight="false" outlineLevel="0" collapsed="false">
      <c r="A24" s="40" t="n">
        <v>45350</v>
      </c>
      <c r="B24" s="41" t="s">
        <v>65</v>
      </c>
      <c r="C24" s="41" t="s">
        <v>37</v>
      </c>
      <c r="D24" s="1" t="n">
        <v>201.95</v>
      </c>
      <c r="E24" s="0" t="s">
        <v>68</v>
      </c>
      <c r="G24" s="42" t="s">
        <v>41</v>
      </c>
    </row>
    <row r="25" customFormat="false" ht="15" hidden="false" customHeight="false" outlineLevel="0" collapsed="false">
      <c r="A25" s="40" t="n">
        <v>45350</v>
      </c>
      <c r="B25" s="41" t="s">
        <v>65</v>
      </c>
      <c r="C25" s="41" t="s">
        <v>37</v>
      </c>
      <c r="D25" s="1" t="n">
        <v>1510.34</v>
      </c>
      <c r="E25" s="0" t="s">
        <v>66</v>
      </c>
      <c r="F25" s="48"/>
      <c r="G25" s="42" t="s">
        <v>42</v>
      </c>
    </row>
    <row r="26" customFormat="false" ht="15" hidden="false" customHeight="false" outlineLevel="0" collapsed="false">
      <c r="A26" s="40" t="n">
        <v>45554</v>
      </c>
      <c r="B26" s="41" t="s">
        <v>69</v>
      </c>
      <c r="C26" s="41" t="s">
        <v>37</v>
      </c>
      <c r="D26" s="1" t="n">
        <v>424.66</v>
      </c>
      <c r="F26" s="48"/>
      <c r="G26" s="42" t="s">
        <v>43</v>
      </c>
    </row>
    <row r="27" customFormat="false" ht="15" hidden="false" customHeight="false" outlineLevel="0" collapsed="false">
      <c r="A27" s="40" t="n">
        <v>45295</v>
      </c>
      <c r="B27" s="41" t="s">
        <v>70</v>
      </c>
      <c r="C27" s="41" t="s">
        <v>37</v>
      </c>
      <c r="D27" s="1" t="n">
        <v>27.53</v>
      </c>
      <c r="G27" s="50" t="s">
        <v>44</v>
      </c>
      <c r="H27" s="49" t="n">
        <f aca="false">D8</f>
        <v>2642.38</v>
      </c>
      <c r="I27" s="0" t="s">
        <v>44</v>
      </c>
    </row>
    <row r="28" customFormat="false" ht="15" hidden="false" customHeight="false" outlineLevel="0" collapsed="false">
      <c r="H28" s="49" t="n">
        <f aca="false">SUM(H3:H27)</f>
        <v>19490.14</v>
      </c>
    </row>
    <row r="30" customFormat="false" ht="15" hidden="false" customHeight="false" outlineLevel="0" collapsed="false">
      <c r="E30" s="51"/>
    </row>
    <row r="32" customFormat="false" ht="15" hidden="false" customHeight="false" outlineLevel="0" collapsed="false">
      <c r="E32" s="49"/>
    </row>
    <row r="33" customFormat="false" ht="15" hidden="false" customHeight="false" outlineLevel="0" collapsed="false">
      <c r="F33" s="48"/>
    </row>
    <row r="43" customFormat="false" ht="15" hidden="false" customHeight="false" outlineLevel="0" collapsed="false">
      <c r="F43" s="48"/>
    </row>
    <row r="46" customFormat="false" ht="15" hidden="false" customHeight="false" outlineLevel="0" collapsed="false">
      <c r="F46" s="48"/>
    </row>
    <row r="55" customFormat="false" ht="15" hidden="false" customHeight="false" outlineLevel="0" collapsed="false">
      <c r="F55" s="48"/>
    </row>
    <row r="56" customFormat="false" ht="15" hidden="false" customHeight="false" outlineLevel="0" collapsed="false">
      <c r="F56" s="48"/>
    </row>
    <row r="58" customFormat="false" ht="15" hidden="false" customHeight="false" outlineLevel="0" collapsed="false">
      <c r="F58" s="48"/>
    </row>
  </sheetData>
  <printOptions headings="false" gridLines="false" gridLinesSet="true" horizontalCentered="false" verticalCentered="false"/>
  <pageMargins left="0.3" right="0.3" top="1.05416666666667" bottom="0.8875" header="0.7875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2"/>
  <sheetViews>
    <sheetView showFormulas="false" showGridLines="true" showRowColHeaders="true" showZeros="false" rightToLeft="false" tabSelected="false" showOutlineSymbols="true" defaultGridColor="true" view="normal" topLeftCell="A6" colorId="64" zoomScale="100" zoomScaleNormal="100" zoomScalePageLayoutView="100" workbookViewId="0">
      <selection pane="topLeft" activeCell="D18" activeCellId="0" sqref="D18"/>
    </sheetView>
  </sheetViews>
  <sheetFormatPr defaultColWidth="11.5703125" defaultRowHeight="15" customHeight="true" zeroHeight="false" outlineLevelRow="0" outlineLevelCol="0"/>
  <cols>
    <col collapsed="false" customWidth="false" hidden="false" outlineLevel="0" max="1" min="1" style="41" width="11.57"/>
    <col collapsed="false" customWidth="true" hidden="false" outlineLevel="0" max="2" min="2" style="41" width="28.14"/>
    <col collapsed="false" customWidth="true" hidden="false" outlineLevel="0" max="3" min="3" style="41" width="22"/>
    <col collapsed="false" customWidth="false" hidden="false" outlineLevel="0" max="4" min="4" style="1" width="11.57"/>
    <col collapsed="false" customWidth="true" hidden="false" outlineLevel="0" max="5" min="5" style="0" width="14.57"/>
    <col collapsed="false" customWidth="true" hidden="false" outlineLevel="0" max="6" min="6" style="42" width="36.71"/>
  </cols>
  <sheetData>
    <row r="1" customFormat="false" ht="15" hidden="false" customHeight="false" outlineLevel="0" collapsed="false">
      <c r="A1" s="52" t="s">
        <v>71</v>
      </c>
    </row>
    <row r="2" customFormat="false" ht="15" hidden="false" customHeight="false" outlineLevel="0" collapsed="false">
      <c r="A2" s="45" t="s">
        <v>49</v>
      </c>
      <c r="B2" s="45" t="s">
        <v>50</v>
      </c>
      <c r="C2" s="45" t="s">
        <v>51</v>
      </c>
      <c r="D2" s="46" t="s">
        <v>52</v>
      </c>
      <c r="E2" s="45" t="s">
        <v>72</v>
      </c>
      <c r="F2" s="47"/>
    </row>
    <row r="3" customFormat="false" ht="15" hidden="false" customHeight="false" outlineLevel="0" collapsed="false">
      <c r="A3" s="53" t="n">
        <v>45399</v>
      </c>
      <c r="B3" s="41" t="s">
        <v>73</v>
      </c>
      <c r="C3" s="41" t="s">
        <v>25</v>
      </c>
      <c r="D3" s="1" t="n">
        <v>204.04</v>
      </c>
    </row>
    <row r="4" customFormat="false" ht="15" hidden="false" customHeight="false" outlineLevel="0" collapsed="false">
      <c r="A4" s="53" t="n">
        <v>45618</v>
      </c>
      <c r="B4" s="41" t="s">
        <v>74</v>
      </c>
      <c r="C4" s="41" t="s">
        <v>25</v>
      </c>
      <c r="D4" s="1" t="n">
        <v>5.29</v>
      </c>
      <c r="F4" s="42" t="s">
        <v>20</v>
      </c>
    </row>
    <row r="5" customFormat="false" ht="15" hidden="false" customHeight="false" outlineLevel="0" collapsed="false">
      <c r="A5" s="53" t="n">
        <v>45415</v>
      </c>
      <c r="B5" s="41" t="s">
        <v>75</v>
      </c>
      <c r="C5" s="41" t="s">
        <v>25</v>
      </c>
      <c r="D5" s="1" t="n">
        <v>50</v>
      </c>
      <c r="F5" s="42" t="s">
        <v>21</v>
      </c>
    </row>
    <row r="6" customFormat="false" ht="15" hidden="false" customHeight="false" outlineLevel="0" collapsed="false">
      <c r="A6" s="53" t="n">
        <v>45415</v>
      </c>
      <c r="B6" s="41" t="s">
        <v>75</v>
      </c>
      <c r="C6" s="41" t="s">
        <v>25</v>
      </c>
      <c r="D6" s="1" t="n">
        <v>44.04</v>
      </c>
      <c r="F6" s="42" t="s">
        <v>22</v>
      </c>
    </row>
    <row r="7" customFormat="false" ht="15" hidden="false" customHeight="false" outlineLevel="0" collapsed="false">
      <c r="A7" s="53" t="n">
        <v>45385</v>
      </c>
      <c r="B7" s="41" t="s">
        <v>59</v>
      </c>
      <c r="C7" s="41" t="s">
        <v>25</v>
      </c>
      <c r="D7" s="1" t="n">
        <v>40.42</v>
      </c>
      <c r="F7" s="42" t="s">
        <v>23</v>
      </c>
    </row>
    <row r="8" customFormat="false" ht="15" hidden="false" customHeight="false" outlineLevel="0" collapsed="false">
      <c r="A8" s="53" t="n">
        <v>45397</v>
      </c>
      <c r="B8" s="41" t="s">
        <v>76</v>
      </c>
      <c r="C8" s="41" t="s">
        <v>25</v>
      </c>
      <c r="D8" s="1" t="n">
        <v>119.03</v>
      </c>
      <c r="F8" s="42" t="s">
        <v>24</v>
      </c>
    </row>
    <row r="9" customFormat="false" ht="15" hidden="false" customHeight="false" outlineLevel="0" collapsed="false">
      <c r="A9" s="53" t="n">
        <v>45398</v>
      </c>
      <c r="B9" s="41" t="s">
        <v>76</v>
      </c>
      <c r="C9" s="41" t="s">
        <v>25</v>
      </c>
      <c r="D9" s="1" t="n">
        <v>119.03</v>
      </c>
      <c r="E9" s="49"/>
      <c r="F9" s="42" t="s">
        <v>25</v>
      </c>
      <c r="G9" s="49" t="n">
        <f aca="false">SUM(D3:D9)</f>
        <v>581.85</v>
      </c>
    </row>
    <row r="10" customFormat="false" ht="15" hidden="false" customHeight="false" outlineLevel="0" collapsed="false">
      <c r="A10" s="53" t="n">
        <v>45489</v>
      </c>
      <c r="B10" s="41" t="s">
        <v>77</v>
      </c>
      <c r="C10" s="41" t="s">
        <v>78</v>
      </c>
      <c r="D10" s="1" t="n">
        <v>57.96</v>
      </c>
      <c r="F10" s="42" t="s">
        <v>26</v>
      </c>
      <c r="G10" s="1" t="n">
        <v>1206.74</v>
      </c>
    </row>
    <row r="11" customFormat="false" ht="15" hidden="false" customHeight="false" outlineLevel="0" collapsed="false">
      <c r="A11" s="53" t="n">
        <v>45483</v>
      </c>
      <c r="B11" s="41" t="s">
        <v>77</v>
      </c>
      <c r="C11" s="41" t="s">
        <v>78</v>
      </c>
      <c r="D11" s="1" t="n">
        <v>47.1</v>
      </c>
      <c r="F11" s="42" t="s">
        <v>27</v>
      </c>
    </row>
    <row r="12" customFormat="false" ht="15" hidden="false" customHeight="false" outlineLevel="0" collapsed="false">
      <c r="A12" s="53" t="n">
        <v>45464</v>
      </c>
      <c r="B12" s="41" t="s">
        <v>54</v>
      </c>
      <c r="C12" s="41" t="s">
        <v>34</v>
      </c>
      <c r="D12" s="1" t="n">
        <v>79.99</v>
      </c>
      <c r="F12" s="42" t="s">
        <v>28</v>
      </c>
      <c r="G12" s="1" t="n">
        <v>190</v>
      </c>
    </row>
    <row r="13" customFormat="false" ht="15" hidden="false" customHeight="false" outlineLevel="0" collapsed="false">
      <c r="A13" s="53" t="n">
        <v>45562</v>
      </c>
      <c r="B13" s="41" t="s">
        <v>54</v>
      </c>
      <c r="C13" s="41" t="s">
        <v>34</v>
      </c>
      <c r="D13" s="1" t="n">
        <v>99.97</v>
      </c>
      <c r="F13" s="42" t="s">
        <v>29</v>
      </c>
    </row>
    <row r="14" customFormat="false" ht="15" hidden="false" customHeight="false" outlineLevel="0" collapsed="false">
      <c r="A14" s="53" t="n">
        <v>45348</v>
      </c>
      <c r="B14" s="41" t="s">
        <v>53</v>
      </c>
      <c r="C14" s="41" t="s">
        <v>34</v>
      </c>
      <c r="D14" s="1" t="n">
        <v>22.04</v>
      </c>
      <c r="F14" s="42" t="s">
        <v>30</v>
      </c>
    </row>
    <row r="15" customFormat="false" ht="15" hidden="false" customHeight="false" outlineLevel="0" collapsed="false">
      <c r="A15" s="53" t="n">
        <v>45553</v>
      </c>
      <c r="B15" s="41" t="s">
        <v>59</v>
      </c>
      <c r="C15" s="41" t="s">
        <v>34</v>
      </c>
      <c r="D15" s="1" t="n">
        <v>11.73</v>
      </c>
      <c r="F15" s="42" t="s">
        <v>31</v>
      </c>
      <c r="G15" s="1" t="n">
        <v>9948.71</v>
      </c>
    </row>
    <row r="16" customFormat="false" ht="15" hidden="false" customHeight="false" outlineLevel="0" collapsed="false">
      <c r="A16" s="53" t="n">
        <v>45405</v>
      </c>
      <c r="B16" s="41" t="s">
        <v>79</v>
      </c>
      <c r="C16" s="41" t="s">
        <v>34</v>
      </c>
      <c r="D16" s="1" t="n">
        <v>222.32</v>
      </c>
      <c r="F16" s="42" t="s">
        <v>32</v>
      </c>
    </row>
    <row r="17" customFormat="false" ht="15" hidden="false" customHeight="false" outlineLevel="0" collapsed="false">
      <c r="A17" s="53" t="n">
        <v>45411</v>
      </c>
      <c r="B17" s="41" t="s">
        <v>79</v>
      </c>
      <c r="C17" s="41" t="s">
        <v>34</v>
      </c>
      <c r="D17" s="1" t="n">
        <v>114.11</v>
      </c>
      <c r="F17" s="42" t="s">
        <v>33</v>
      </c>
    </row>
    <row r="18" customFormat="false" ht="15" hidden="false" customHeight="false" outlineLevel="0" collapsed="false">
      <c r="B18" s="41" t="s">
        <v>80</v>
      </c>
      <c r="C18" s="41" t="s">
        <v>36</v>
      </c>
      <c r="D18" s="1" t="n">
        <v>7852.38</v>
      </c>
      <c r="F18" s="42" t="s">
        <v>34</v>
      </c>
      <c r="G18" s="49" t="n">
        <f aca="false">SUM(D12:D31)</f>
        <v>11565.19</v>
      </c>
    </row>
    <row r="19" customFormat="false" ht="15" hidden="false" customHeight="false" outlineLevel="0" collapsed="false">
      <c r="A19" s="53" t="n">
        <v>45392</v>
      </c>
      <c r="B19" s="41" t="s">
        <v>81</v>
      </c>
      <c r="C19" s="41" t="s">
        <v>36</v>
      </c>
      <c r="D19" s="1" t="n">
        <v>29.17</v>
      </c>
      <c r="F19" s="42" t="s">
        <v>35</v>
      </c>
    </row>
    <row r="20" customFormat="false" ht="15" hidden="false" customHeight="false" outlineLevel="0" collapsed="false">
      <c r="A20" s="53" t="n">
        <v>45558</v>
      </c>
      <c r="B20" s="41" t="s">
        <v>82</v>
      </c>
      <c r="C20" s="41" t="s">
        <v>36</v>
      </c>
      <c r="D20" s="1" t="n">
        <v>30.87</v>
      </c>
      <c r="F20" s="42" t="s">
        <v>36</v>
      </c>
    </row>
    <row r="21" customFormat="false" ht="15" hidden="false" customHeight="false" outlineLevel="0" collapsed="false">
      <c r="A21" s="53" t="n">
        <v>45295</v>
      </c>
      <c r="B21" s="41" t="s">
        <v>63</v>
      </c>
      <c r="C21" s="41" t="s">
        <v>36</v>
      </c>
      <c r="D21" s="1" t="n">
        <v>49.59</v>
      </c>
      <c r="F21" s="42" t="s">
        <v>37</v>
      </c>
      <c r="G21" s="49" t="n">
        <f aca="false">SUM(D32:D49)</f>
        <v>4490.48</v>
      </c>
    </row>
    <row r="22" customFormat="false" ht="15" hidden="false" customHeight="false" outlineLevel="0" collapsed="false">
      <c r="A22" s="53" t="n">
        <v>45317</v>
      </c>
      <c r="B22" s="41" t="s">
        <v>58</v>
      </c>
      <c r="C22" s="41" t="s">
        <v>36</v>
      </c>
      <c r="D22" s="1" t="n">
        <v>122.11</v>
      </c>
      <c r="F22" s="42" t="s">
        <v>38</v>
      </c>
      <c r="G22" s="49" t="n">
        <f aca="false">SUM(D50)</f>
        <v>12.72</v>
      </c>
    </row>
    <row r="23" customFormat="false" ht="15" hidden="false" customHeight="false" outlineLevel="0" collapsed="false">
      <c r="A23" s="53" t="n">
        <v>45383</v>
      </c>
      <c r="B23" s="41" t="s">
        <v>59</v>
      </c>
      <c r="C23" s="41" t="s">
        <v>36</v>
      </c>
      <c r="D23" s="1" t="n">
        <v>118.76</v>
      </c>
      <c r="F23" s="42" t="s">
        <v>39</v>
      </c>
      <c r="G23" s="1" t="n">
        <v>7363.99</v>
      </c>
    </row>
    <row r="24" customFormat="false" ht="15" hidden="false" customHeight="false" outlineLevel="0" collapsed="false">
      <c r="A24" s="53" t="n">
        <v>45321</v>
      </c>
      <c r="B24" s="41" t="s">
        <v>83</v>
      </c>
      <c r="C24" s="41" t="s">
        <v>36</v>
      </c>
      <c r="D24" s="1" t="n">
        <v>375.11</v>
      </c>
      <c r="F24" s="42" t="s">
        <v>40</v>
      </c>
    </row>
    <row r="25" customFormat="false" ht="15" hidden="false" customHeight="false" outlineLevel="0" collapsed="false">
      <c r="A25" s="53" t="n">
        <v>45621</v>
      </c>
      <c r="B25" s="41" t="s">
        <v>84</v>
      </c>
      <c r="C25" s="41" t="s">
        <v>36</v>
      </c>
      <c r="D25" s="1" t="n">
        <v>3.11</v>
      </c>
      <c r="F25" s="42" t="s">
        <v>41</v>
      </c>
    </row>
    <row r="26" customFormat="false" ht="15" hidden="false" customHeight="false" outlineLevel="0" collapsed="false">
      <c r="A26" s="53" t="n">
        <v>45625</v>
      </c>
      <c r="B26" s="41" t="s">
        <v>84</v>
      </c>
      <c r="C26" s="41" t="s">
        <v>36</v>
      </c>
      <c r="D26" s="1" t="n">
        <v>10.46</v>
      </c>
      <c r="F26" s="42" t="s">
        <v>42</v>
      </c>
    </row>
    <row r="27" customFormat="false" ht="15" hidden="false" customHeight="false" outlineLevel="0" collapsed="false">
      <c r="A27" s="53" t="n">
        <v>45628</v>
      </c>
      <c r="B27" s="41" t="s">
        <v>84</v>
      </c>
      <c r="C27" s="41" t="s">
        <v>36</v>
      </c>
      <c r="D27" s="1" t="n">
        <v>4.2</v>
      </c>
      <c r="F27" s="42" t="s">
        <v>43</v>
      </c>
      <c r="G27" s="49" t="n">
        <f aca="false">SUM(D10:D11)</f>
        <v>105.06</v>
      </c>
    </row>
    <row r="28" customFormat="false" ht="15" hidden="false" customHeight="false" outlineLevel="0" collapsed="false">
      <c r="A28" s="53" t="n">
        <v>45314</v>
      </c>
      <c r="B28" s="41" t="s">
        <v>85</v>
      </c>
      <c r="C28" s="41" t="s">
        <v>36</v>
      </c>
      <c r="D28" s="1" t="n">
        <v>308.28</v>
      </c>
      <c r="F28" s="50" t="s">
        <v>86</v>
      </c>
    </row>
    <row r="29" customFormat="false" ht="15" hidden="false" customHeight="false" outlineLevel="0" collapsed="false">
      <c r="A29" s="53" t="n">
        <v>45616</v>
      </c>
      <c r="B29" s="41" t="s">
        <v>87</v>
      </c>
      <c r="C29" s="41" t="s">
        <v>36</v>
      </c>
      <c r="D29" s="1" t="n">
        <v>271.4</v>
      </c>
      <c r="G29" s="49" t="n">
        <f aca="false">SUM(G4:G28)</f>
        <v>35464.74</v>
      </c>
    </row>
    <row r="30" customFormat="false" ht="15" hidden="false" customHeight="false" outlineLevel="0" collapsed="false">
      <c r="A30" s="53" t="n">
        <v>45617</v>
      </c>
      <c r="B30" s="41" t="s">
        <v>88</v>
      </c>
      <c r="C30" s="41" t="s">
        <v>36</v>
      </c>
      <c r="D30" s="1" t="n">
        <v>1641.59</v>
      </c>
    </row>
    <row r="31" customFormat="false" ht="15" hidden="false" customHeight="false" outlineLevel="0" collapsed="false">
      <c r="A31" s="53" t="n">
        <v>45657</v>
      </c>
      <c r="B31" s="41" t="s">
        <v>89</v>
      </c>
      <c r="C31" s="41" t="s">
        <v>36</v>
      </c>
      <c r="D31" s="1" t="n">
        <f aca="false">16.5*12</f>
        <v>198</v>
      </c>
      <c r="E31" s="0" t="s">
        <v>90</v>
      </c>
    </row>
    <row r="32" customFormat="false" ht="15" hidden="false" customHeight="false" outlineLevel="0" collapsed="false">
      <c r="A32" s="40" t="n">
        <v>45350</v>
      </c>
      <c r="B32" s="41" t="s">
        <v>91</v>
      </c>
      <c r="C32" s="41" t="s">
        <v>37</v>
      </c>
      <c r="D32" s="1" t="n">
        <v>35.14</v>
      </c>
    </row>
    <row r="33" customFormat="false" ht="15" hidden="false" customHeight="false" outlineLevel="0" collapsed="false">
      <c r="A33" s="53" t="n">
        <v>45399</v>
      </c>
      <c r="B33" s="41" t="s">
        <v>91</v>
      </c>
      <c r="C33" s="41" t="s">
        <v>37</v>
      </c>
      <c r="D33" s="1" t="n">
        <v>13.12</v>
      </c>
    </row>
    <row r="34" customFormat="false" ht="15" hidden="false" customHeight="false" outlineLevel="0" collapsed="false">
      <c r="A34" s="53" t="n">
        <v>45463</v>
      </c>
      <c r="B34" s="41" t="s">
        <v>91</v>
      </c>
      <c r="C34" s="41" t="s">
        <v>37</v>
      </c>
      <c r="D34" s="1" t="n">
        <v>7.5</v>
      </c>
    </row>
    <row r="35" customFormat="false" ht="15" hidden="false" customHeight="false" outlineLevel="0" collapsed="false">
      <c r="A35" s="53" t="n">
        <v>45467</v>
      </c>
      <c r="B35" s="41" t="s">
        <v>91</v>
      </c>
      <c r="C35" s="41" t="s">
        <v>37</v>
      </c>
      <c r="D35" s="1" t="n">
        <v>189.08</v>
      </c>
    </row>
    <row r="36" customFormat="false" ht="15" hidden="false" customHeight="false" outlineLevel="0" collapsed="false">
      <c r="A36" s="53" t="n">
        <v>45573</v>
      </c>
      <c r="B36" s="41" t="s">
        <v>82</v>
      </c>
      <c r="C36" s="41" t="s">
        <v>37</v>
      </c>
      <c r="D36" s="1" t="n">
        <v>1.29</v>
      </c>
    </row>
    <row r="37" customFormat="false" ht="15" hidden="false" customHeight="false" outlineLevel="0" collapsed="false">
      <c r="A37" s="53" t="n">
        <v>45358</v>
      </c>
      <c r="B37" s="41" t="s">
        <v>53</v>
      </c>
      <c r="C37" s="41" t="s">
        <v>37</v>
      </c>
      <c r="D37" s="1" t="n">
        <v>276.05</v>
      </c>
    </row>
    <row r="38" customFormat="false" ht="15" hidden="false" customHeight="false" outlineLevel="0" collapsed="false">
      <c r="A38" s="53" t="s">
        <v>92</v>
      </c>
      <c r="B38" s="54" t="s">
        <v>58</v>
      </c>
      <c r="C38" s="41" t="s">
        <v>37</v>
      </c>
      <c r="D38" s="1" t="n">
        <v>14.72</v>
      </c>
    </row>
    <row r="39" customFormat="false" ht="15" hidden="false" customHeight="false" outlineLevel="0" collapsed="false">
      <c r="A39" s="53" t="n">
        <v>45376</v>
      </c>
      <c r="B39" s="41" t="s">
        <v>59</v>
      </c>
      <c r="C39" s="41" t="s">
        <v>37</v>
      </c>
      <c r="D39" s="1" t="n">
        <v>113.67</v>
      </c>
    </row>
    <row r="40" customFormat="false" ht="15" hidden="false" customHeight="false" outlineLevel="0" collapsed="false">
      <c r="A40" s="40" t="n">
        <v>45359</v>
      </c>
      <c r="B40" s="41" t="s">
        <v>59</v>
      </c>
      <c r="C40" s="41" t="s">
        <v>37</v>
      </c>
      <c r="D40" s="1" t="n">
        <v>142.99</v>
      </c>
    </row>
    <row r="41" customFormat="false" ht="15" hidden="false" customHeight="false" outlineLevel="0" collapsed="false">
      <c r="A41" s="53" t="n">
        <v>45378</v>
      </c>
      <c r="B41" s="41" t="s">
        <v>59</v>
      </c>
      <c r="C41" s="41" t="s">
        <v>37</v>
      </c>
      <c r="D41" s="1" t="n">
        <v>140.26</v>
      </c>
    </row>
    <row r="42" customFormat="false" ht="15" hidden="false" customHeight="false" outlineLevel="0" collapsed="false">
      <c r="A42" s="53" t="n">
        <v>45382</v>
      </c>
      <c r="B42" s="41" t="s">
        <v>59</v>
      </c>
      <c r="C42" s="41" t="s">
        <v>37</v>
      </c>
      <c r="D42" s="1" t="n">
        <v>68.06</v>
      </c>
    </row>
    <row r="43" customFormat="false" ht="15" hidden="false" customHeight="false" outlineLevel="0" collapsed="false">
      <c r="A43" s="53" t="n">
        <v>45461</v>
      </c>
      <c r="B43" s="41" t="s">
        <v>59</v>
      </c>
      <c r="C43" s="41" t="s">
        <v>37</v>
      </c>
      <c r="D43" s="1" t="n">
        <v>74.85</v>
      </c>
    </row>
    <row r="44" customFormat="false" ht="15" hidden="false" customHeight="false" outlineLevel="0" collapsed="false">
      <c r="A44" s="53" t="n">
        <v>45494</v>
      </c>
      <c r="B44" s="41" t="s">
        <v>59</v>
      </c>
      <c r="C44" s="41" t="s">
        <v>37</v>
      </c>
      <c r="D44" s="1" t="n">
        <v>83.06</v>
      </c>
    </row>
    <row r="45" customFormat="false" ht="15" hidden="false" customHeight="false" outlineLevel="0" collapsed="false">
      <c r="A45" s="53" t="n">
        <v>45552</v>
      </c>
      <c r="B45" s="41" t="s">
        <v>59</v>
      </c>
      <c r="C45" s="41" t="s">
        <v>37</v>
      </c>
      <c r="D45" s="1" t="n">
        <v>133.1</v>
      </c>
    </row>
    <row r="46" customFormat="false" ht="15" hidden="false" customHeight="false" outlineLevel="0" collapsed="false">
      <c r="A46" s="53" t="n">
        <v>45551</v>
      </c>
      <c r="B46" s="41" t="s">
        <v>59</v>
      </c>
      <c r="C46" s="41" t="s">
        <v>37</v>
      </c>
      <c r="D46" s="1" t="n">
        <v>655.1</v>
      </c>
    </row>
    <row r="47" customFormat="false" ht="15" hidden="false" customHeight="false" outlineLevel="0" collapsed="false">
      <c r="A47" s="53" t="n">
        <v>45554</v>
      </c>
      <c r="B47" s="41" t="s">
        <v>93</v>
      </c>
      <c r="C47" s="41" t="s">
        <v>37</v>
      </c>
      <c r="D47" s="1" t="n">
        <v>26.02</v>
      </c>
    </row>
    <row r="48" customFormat="false" ht="15" hidden="false" customHeight="false" outlineLevel="0" collapsed="false">
      <c r="A48" s="53" t="n">
        <v>45531</v>
      </c>
      <c r="B48" s="41" t="s">
        <v>56</v>
      </c>
      <c r="C48" s="41" t="s">
        <v>37</v>
      </c>
      <c r="D48" s="1" t="n">
        <v>1267.71</v>
      </c>
      <c r="E48" s="0" t="s">
        <v>94</v>
      </c>
    </row>
    <row r="49" customFormat="false" ht="15" hidden="false" customHeight="false" outlineLevel="0" collapsed="false">
      <c r="A49" s="53" t="n">
        <v>45534</v>
      </c>
      <c r="B49" s="41" t="s">
        <v>56</v>
      </c>
      <c r="C49" s="41" t="s">
        <v>37</v>
      </c>
      <c r="D49" s="1" t="n">
        <v>1248.76</v>
      </c>
      <c r="E49" s="0" t="s">
        <v>94</v>
      </c>
    </row>
    <row r="50" customFormat="false" ht="15" hidden="false" customHeight="false" outlineLevel="0" collapsed="false">
      <c r="A50" s="53" t="n">
        <v>45385</v>
      </c>
      <c r="B50" s="41" t="s">
        <v>59</v>
      </c>
      <c r="C50" s="41" t="s">
        <v>38</v>
      </c>
      <c r="D50" s="1" t="n">
        <v>12.72</v>
      </c>
    </row>
    <row r="51" customFormat="false" ht="15" hidden="false" customHeight="false" outlineLevel="0" collapsed="false">
      <c r="A51" s="53"/>
    </row>
    <row r="52" customFormat="false" ht="15" hidden="false" customHeight="false" outlineLevel="0" collapsed="false">
      <c r="A52" s="53"/>
      <c r="D52" s="1" t="s">
        <v>16</v>
      </c>
      <c r="E52" s="51" t="n">
        <f aca="false">SUM(D1:D101)</f>
        <v>16755.3</v>
      </c>
    </row>
    <row r="53" customFormat="false" ht="15" hidden="false" customHeight="false" outlineLevel="0" collapsed="false">
      <c r="A53" s="53"/>
    </row>
    <row r="54" customFormat="false" ht="15" hidden="false" customHeight="false" outlineLevel="0" collapsed="false">
      <c r="A54" s="53"/>
      <c r="E54" s="49"/>
    </row>
    <row r="55" customFormat="false" ht="15" hidden="false" customHeight="false" outlineLevel="0" collapsed="false">
      <c r="A55" s="53"/>
    </row>
    <row r="56" customFormat="false" ht="15" hidden="false" customHeight="false" outlineLevel="0" collapsed="false">
      <c r="A56" s="53"/>
    </row>
    <row r="57" customFormat="false" ht="15" hidden="false" customHeight="false" outlineLevel="0" collapsed="false">
      <c r="A57" s="53"/>
    </row>
    <row r="58" customFormat="false" ht="15" hidden="false" customHeight="false" outlineLevel="0" collapsed="false">
      <c r="A58" s="53"/>
    </row>
    <row r="59" customFormat="false" ht="15" hidden="false" customHeight="false" outlineLevel="0" collapsed="false">
      <c r="A59" s="53"/>
    </row>
    <row r="60" customFormat="false" ht="15" hidden="false" customHeight="false" outlineLevel="0" collapsed="false">
      <c r="A60" s="53"/>
    </row>
    <row r="61" customFormat="false" ht="15" hidden="false" customHeight="false" outlineLevel="0" collapsed="false">
      <c r="A61" s="53"/>
    </row>
    <row r="62" customFormat="false" ht="15" hidden="false" customHeight="false" outlineLevel="0" collapsed="false">
      <c r="A62" s="53"/>
    </row>
    <row r="63" customFormat="false" ht="15" hidden="false" customHeight="false" outlineLevel="0" collapsed="false">
      <c r="A63" s="53"/>
    </row>
    <row r="64" customFormat="false" ht="15" hidden="false" customHeight="false" outlineLevel="0" collapsed="false">
      <c r="A64" s="53"/>
    </row>
    <row r="65" customFormat="false" ht="15" hidden="false" customHeight="false" outlineLevel="0" collapsed="false">
      <c r="A65" s="53"/>
    </row>
    <row r="66" customFormat="false" ht="15" hidden="false" customHeight="false" outlineLevel="0" collapsed="false">
      <c r="A66" s="53"/>
    </row>
    <row r="67" customFormat="false" ht="15" hidden="false" customHeight="false" outlineLevel="0" collapsed="false">
      <c r="A67" s="53"/>
    </row>
    <row r="68" customFormat="false" ht="15" hidden="false" customHeight="false" outlineLevel="0" collapsed="false">
      <c r="A68" s="53"/>
    </row>
    <row r="69" customFormat="false" ht="15" hidden="false" customHeight="false" outlineLevel="0" collapsed="false">
      <c r="A69" s="53"/>
    </row>
    <row r="70" customFormat="false" ht="15" hidden="false" customHeight="false" outlineLevel="0" collapsed="false">
      <c r="A70" s="53"/>
    </row>
    <row r="71" customFormat="false" ht="15" hidden="false" customHeight="false" outlineLevel="0" collapsed="false">
      <c r="A71" s="53"/>
    </row>
    <row r="72" customFormat="false" ht="15" hidden="false" customHeight="false" outlineLevel="0" collapsed="false">
      <c r="A72" s="53"/>
    </row>
    <row r="73" customFormat="false" ht="15" hidden="false" customHeight="false" outlineLevel="0" collapsed="false">
      <c r="A73" s="53"/>
    </row>
    <row r="74" customFormat="false" ht="15" hidden="false" customHeight="false" outlineLevel="0" collapsed="false">
      <c r="A74" s="53"/>
    </row>
    <row r="75" customFormat="false" ht="15" hidden="false" customHeight="false" outlineLevel="0" collapsed="false">
      <c r="A75" s="53"/>
    </row>
    <row r="76" customFormat="false" ht="15" hidden="false" customHeight="false" outlineLevel="0" collapsed="false">
      <c r="A76" s="53"/>
    </row>
    <row r="77" customFormat="false" ht="15" hidden="false" customHeight="false" outlineLevel="0" collapsed="false">
      <c r="A77" s="53"/>
    </row>
    <row r="78" customFormat="false" ht="15" hidden="false" customHeight="false" outlineLevel="0" collapsed="false">
      <c r="A78" s="53"/>
    </row>
    <row r="79" customFormat="false" ht="15" hidden="false" customHeight="false" outlineLevel="0" collapsed="false">
      <c r="A79" s="53"/>
    </row>
    <row r="80" customFormat="false" ht="15" hidden="false" customHeight="false" outlineLevel="0" collapsed="false">
      <c r="A80" s="53"/>
    </row>
    <row r="81" customFormat="false" ht="15" hidden="false" customHeight="false" outlineLevel="0" collapsed="false">
      <c r="A81" s="53"/>
    </row>
    <row r="82" customFormat="false" ht="15" hidden="false" customHeight="false" outlineLevel="0" collapsed="false">
      <c r="A82" s="53"/>
    </row>
    <row r="83" customFormat="false" ht="15" hidden="false" customHeight="false" outlineLevel="0" collapsed="false">
      <c r="A83" s="53"/>
    </row>
    <row r="84" customFormat="false" ht="15" hidden="false" customHeight="false" outlineLevel="0" collapsed="false">
      <c r="A84" s="53"/>
    </row>
    <row r="85" customFormat="false" ht="15" hidden="false" customHeight="false" outlineLevel="0" collapsed="false">
      <c r="A85" s="53"/>
    </row>
    <row r="86" customFormat="false" ht="15" hidden="false" customHeight="false" outlineLevel="0" collapsed="false">
      <c r="A86" s="53"/>
    </row>
    <row r="87" customFormat="false" ht="15" hidden="false" customHeight="false" outlineLevel="0" collapsed="false">
      <c r="A87" s="53"/>
    </row>
    <row r="88" customFormat="false" ht="15" hidden="false" customHeight="false" outlineLevel="0" collapsed="false">
      <c r="A88" s="53"/>
    </row>
    <row r="89" customFormat="false" ht="15" hidden="false" customHeight="false" outlineLevel="0" collapsed="false">
      <c r="A89" s="53"/>
    </row>
    <row r="90" customFormat="false" ht="15" hidden="false" customHeight="false" outlineLevel="0" collapsed="false">
      <c r="A90" s="53"/>
    </row>
    <row r="91" customFormat="false" ht="15" hidden="false" customHeight="false" outlineLevel="0" collapsed="false">
      <c r="A91" s="53"/>
    </row>
    <row r="92" customFormat="false" ht="15" hidden="false" customHeight="false" outlineLevel="0" collapsed="false">
      <c r="A92" s="53"/>
    </row>
    <row r="93" customFormat="false" ht="15" hidden="false" customHeight="false" outlineLevel="0" collapsed="false">
      <c r="A93" s="53"/>
    </row>
    <row r="94" customFormat="false" ht="15" hidden="false" customHeight="false" outlineLevel="0" collapsed="false">
      <c r="A94" s="53"/>
    </row>
    <row r="95" customFormat="false" ht="15" hidden="false" customHeight="false" outlineLevel="0" collapsed="false">
      <c r="A95" s="53"/>
    </row>
    <row r="96" customFormat="false" ht="15" hidden="false" customHeight="false" outlineLevel="0" collapsed="false">
      <c r="A96" s="53"/>
    </row>
    <row r="97" customFormat="false" ht="15" hidden="false" customHeight="false" outlineLevel="0" collapsed="false">
      <c r="A97" s="53"/>
    </row>
    <row r="98" customFormat="false" ht="15" hidden="false" customHeight="false" outlineLevel="0" collapsed="false">
      <c r="A98" s="53"/>
    </row>
    <row r="99" customFormat="false" ht="15" hidden="false" customHeight="false" outlineLevel="0" collapsed="false">
      <c r="A99" s="53"/>
    </row>
    <row r="100" customFormat="false" ht="15" hidden="false" customHeight="false" outlineLevel="0" collapsed="false">
      <c r="A100" s="53"/>
    </row>
    <row r="101" customFormat="false" ht="15" hidden="false" customHeight="false" outlineLevel="0" collapsed="false">
      <c r="A101" s="53"/>
    </row>
    <row r="102" customFormat="false" ht="15" hidden="false" customHeight="false" outlineLevel="0" collapsed="false">
      <c r="A102" s="53"/>
    </row>
  </sheetData>
  <printOptions headings="false" gridLines="false" gridLinesSet="true" horizontalCentered="false" verticalCentered="false"/>
  <pageMargins left="0.3" right="0.3" top="1.05416666666667" bottom="0.8875" header="0.7875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11.5703125" defaultRowHeight="15" customHeight="true" zeroHeight="false" outlineLevelRow="0" outlineLevelCol="0"/>
  <cols>
    <col collapsed="false" customWidth="true" hidden="false" outlineLevel="0" max="1" min="1" style="41" width="16.29"/>
    <col collapsed="false" customWidth="true" hidden="false" outlineLevel="0" max="2" min="2" style="41" width="23.71"/>
    <col collapsed="false" customWidth="true" hidden="false" outlineLevel="0" max="3" min="3" style="41" width="24.14"/>
    <col collapsed="false" customWidth="false" hidden="false" outlineLevel="0" max="4" min="4" style="1" width="11.57"/>
    <col collapsed="false" customWidth="true" hidden="false" outlineLevel="0" max="5" min="5" style="0" width="21"/>
    <col collapsed="false" customWidth="true" hidden="false" outlineLevel="0" max="6" min="6" style="42" width="36.71"/>
  </cols>
  <sheetData>
    <row r="1" customFormat="false" ht="15" hidden="false" customHeight="false" outlineLevel="0" collapsed="false">
      <c r="A1" s="52" t="s">
        <v>95</v>
      </c>
    </row>
    <row r="2" customFormat="false" ht="15" hidden="false" customHeight="false" outlineLevel="0" collapsed="false">
      <c r="A2" s="45" t="s">
        <v>49</v>
      </c>
      <c r="B2" s="45" t="s">
        <v>50</v>
      </c>
      <c r="C2" s="45" t="s">
        <v>51</v>
      </c>
      <c r="D2" s="55" t="s">
        <v>52</v>
      </c>
      <c r="F2" s="47"/>
    </row>
    <row r="3" customFormat="false" ht="15" hidden="false" customHeight="false" outlineLevel="0" collapsed="false">
      <c r="A3" s="53" t="n">
        <v>45446</v>
      </c>
      <c r="B3" s="41" t="s">
        <v>53</v>
      </c>
      <c r="C3" s="41" t="s">
        <v>96</v>
      </c>
      <c r="D3" s="1" t="n">
        <v>7.71</v>
      </c>
      <c r="F3" s="42" t="s">
        <v>20</v>
      </c>
    </row>
    <row r="4" customFormat="false" ht="15" hidden="false" customHeight="false" outlineLevel="0" collapsed="false">
      <c r="A4" s="53" t="n">
        <v>45446</v>
      </c>
      <c r="B4" s="41" t="s">
        <v>53</v>
      </c>
      <c r="C4" s="41" t="s">
        <v>96</v>
      </c>
      <c r="D4" s="1" t="n">
        <v>25.36</v>
      </c>
      <c r="F4" s="42" t="s">
        <v>21</v>
      </c>
    </row>
    <row r="5" customFormat="false" ht="15" hidden="false" customHeight="false" outlineLevel="0" collapsed="false">
      <c r="A5" s="53" t="n">
        <v>45452</v>
      </c>
      <c r="B5" s="41" t="s">
        <v>53</v>
      </c>
      <c r="C5" s="41" t="s">
        <v>96</v>
      </c>
      <c r="D5" s="1" t="n">
        <v>368.94</v>
      </c>
      <c r="F5" s="42" t="s">
        <v>22</v>
      </c>
    </row>
    <row r="6" customFormat="false" ht="15" hidden="false" customHeight="false" outlineLevel="0" collapsed="false">
      <c r="A6" s="53" t="n">
        <v>45386</v>
      </c>
      <c r="B6" s="41" t="s">
        <v>97</v>
      </c>
      <c r="C6" s="41" t="s">
        <v>36</v>
      </c>
      <c r="D6" s="1" t="n">
        <v>25.93</v>
      </c>
      <c r="E6" s="41"/>
      <c r="F6" s="42" t="s">
        <v>23</v>
      </c>
      <c r="G6" s="49" t="n">
        <f aca="false">SUM(D3:D5)</f>
        <v>402.01</v>
      </c>
    </row>
    <row r="7" customFormat="false" ht="15" hidden="false" customHeight="false" outlineLevel="0" collapsed="false">
      <c r="A7" s="53" t="n">
        <v>45393</v>
      </c>
      <c r="B7" s="41" t="s">
        <v>97</v>
      </c>
      <c r="C7" s="41" t="s">
        <v>36</v>
      </c>
      <c r="D7" s="1" t="n">
        <v>29.42</v>
      </c>
      <c r="E7" s="41"/>
      <c r="F7" s="42" t="s">
        <v>24</v>
      </c>
    </row>
    <row r="8" customFormat="false" ht="15" hidden="false" customHeight="false" outlineLevel="0" collapsed="false">
      <c r="A8" s="53" t="n">
        <v>45383</v>
      </c>
      <c r="B8" s="41" t="s">
        <v>58</v>
      </c>
      <c r="C8" s="41" t="s">
        <v>36</v>
      </c>
      <c r="D8" s="1" t="n">
        <v>20.14</v>
      </c>
      <c r="F8" s="42" t="s">
        <v>25</v>
      </c>
    </row>
    <row r="9" customFormat="false" ht="15" hidden="false" customHeight="false" outlineLevel="0" collapsed="false">
      <c r="A9" s="53" t="n">
        <v>45385</v>
      </c>
      <c r="B9" s="41" t="s">
        <v>58</v>
      </c>
      <c r="C9" s="41" t="s">
        <v>36</v>
      </c>
      <c r="D9" s="1" t="n">
        <v>25.61</v>
      </c>
      <c r="F9" s="42" t="s">
        <v>26</v>
      </c>
      <c r="G9" s="1" t="n">
        <v>895.78</v>
      </c>
    </row>
    <row r="10" customFormat="false" ht="15" hidden="false" customHeight="false" outlineLevel="0" collapsed="false">
      <c r="A10" s="53" t="n">
        <v>45392</v>
      </c>
      <c r="B10" s="41" t="s">
        <v>59</v>
      </c>
      <c r="C10" s="41" t="s">
        <v>36</v>
      </c>
      <c r="D10" s="1" t="n">
        <v>1087.85</v>
      </c>
      <c r="F10" s="42" t="s">
        <v>27</v>
      </c>
    </row>
    <row r="11" customFormat="false" ht="15" hidden="false" customHeight="false" outlineLevel="0" collapsed="false">
      <c r="A11" s="53" t="n">
        <v>45293</v>
      </c>
      <c r="B11" s="41" t="s">
        <v>93</v>
      </c>
      <c r="C11" s="41" t="s">
        <v>36</v>
      </c>
      <c r="D11" s="1" t="n">
        <v>62.68</v>
      </c>
      <c r="F11" s="42" t="s">
        <v>28</v>
      </c>
    </row>
    <row r="12" customFormat="false" ht="15" hidden="false" customHeight="false" outlineLevel="0" collapsed="false">
      <c r="A12" s="53" t="n">
        <v>45401</v>
      </c>
      <c r="B12" s="41" t="s">
        <v>93</v>
      </c>
      <c r="C12" s="41" t="s">
        <v>36</v>
      </c>
      <c r="D12" s="1" t="n">
        <v>5.99</v>
      </c>
      <c r="F12" s="42" t="s">
        <v>29</v>
      </c>
    </row>
    <row r="13" customFormat="false" ht="15" hidden="false" customHeight="false" outlineLevel="0" collapsed="false">
      <c r="A13" s="53" t="s">
        <v>98</v>
      </c>
      <c r="B13" s="41" t="s">
        <v>97</v>
      </c>
      <c r="C13" s="41" t="s">
        <v>37</v>
      </c>
      <c r="D13" s="1" t="n">
        <v>2.61</v>
      </c>
      <c r="E13" s="41"/>
      <c r="F13" s="42" t="s">
        <v>30</v>
      </c>
    </row>
    <row r="14" customFormat="false" ht="15" hidden="false" customHeight="false" outlineLevel="0" collapsed="false">
      <c r="A14" s="53" t="n">
        <v>45377</v>
      </c>
      <c r="B14" s="41" t="s">
        <v>97</v>
      </c>
      <c r="C14" s="41" t="s">
        <v>37</v>
      </c>
      <c r="D14" s="1" t="n">
        <v>7.26</v>
      </c>
      <c r="E14" s="41"/>
      <c r="F14" s="42" t="s">
        <v>31</v>
      </c>
      <c r="G14" s="1" t="n">
        <v>3747.53</v>
      </c>
    </row>
    <row r="15" customFormat="false" ht="15" hidden="false" customHeight="false" outlineLevel="0" collapsed="false">
      <c r="A15" s="53" t="n">
        <v>45343</v>
      </c>
      <c r="B15" s="41" t="s">
        <v>63</v>
      </c>
      <c r="C15" s="41" t="s">
        <v>37</v>
      </c>
      <c r="D15" s="1" t="n">
        <v>55.1</v>
      </c>
      <c r="E15" s="41"/>
      <c r="F15" s="42" t="s">
        <v>32</v>
      </c>
    </row>
    <row r="16" customFormat="false" ht="15" hidden="false" customHeight="false" outlineLevel="0" collapsed="false">
      <c r="A16" s="53" t="n">
        <v>45446</v>
      </c>
      <c r="B16" s="41" t="s">
        <v>53</v>
      </c>
      <c r="C16" s="41" t="s">
        <v>37</v>
      </c>
      <c r="D16" s="1" t="n">
        <v>60.6</v>
      </c>
      <c r="E16" s="41"/>
      <c r="F16" s="42" t="s">
        <v>33</v>
      </c>
    </row>
    <row r="17" customFormat="false" ht="15" hidden="false" customHeight="false" outlineLevel="0" collapsed="false">
      <c r="A17" s="53" t="n">
        <v>45355</v>
      </c>
      <c r="B17" s="41" t="s">
        <v>59</v>
      </c>
      <c r="C17" s="41" t="s">
        <v>37</v>
      </c>
      <c r="D17" s="1" t="n">
        <v>67.65</v>
      </c>
      <c r="F17" s="42" t="s">
        <v>34</v>
      </c>
    </row>
    <row r="18" customFormat="false" ht="15" hidden="false" customHeight="false" outlineLevel="0" collapsed="false">
      <c r="A18" s="53" t="n">
        <v>45401</v>
      </c>
      <c r="B18" s="41" t="s">
        <v>59</v>
      </c>
      <c r="C18" s="41" t="s">
        <v>37</v>
      </c>
      <c r="D18" s="1" t="n">
        <v>110.14</v>
      </c>
      <c r="F18" s="42" t="s">
        <v>35</v>
      </c>
    </row>
    <row r="19" customFormat="false" ht="15" hidden="false" customHeight="false" outlineLevel="0" collapsed="false">
      <c r="A19" s="53" t="n">
        <v>45388</v>
      </c>
      <c r="B19" s="41" t="s">
        <v>59</v>
      </c>
      <c r="C19" s="41" t="s">
        <v>37</v>
      </c>
      <c r="D19" s="1" t="n">
        <v>14.67</v>
      </c>
      <c r="F19" s="42" t="s">
        <v>36</v>
      </c>
      <c r="G19" s="49" t="n">
        <f aca="false">SUM(D6:D12)</f>
        <v>1257.62</v>
      </c>
    </row>
    <row r="20" customFormat="false" ht="15" hidden="false" customHeight="false" outlineLevel="0" collapsed="false">
      <c r="A20" s="40" t="n">
        <v>45645</v>
      </c>
      <c r="B20" s="41" t="s">
        <v>59</v>
      </c>
      <c r="C20" s="41" t="s">
        <v>37</v>
      </c>
      <c r="D20" s="1" t="n">
        <v>12.71</v>
      </c>
      <c r="F20" s="42" t="s">
        <v>37</v>
      </c>
      <c r="G20" s="49" t="n">
        <f aca="false">SUM(D13:D22)</f>
        <v>2931.23</v>
      </c>
    </row>
    <row r="21" customFormat="false" ht="15" hidden="false" customHeight="false" outlineLevel="0" collapsed="false">
      <c r="A21" s="53" t="n">
        <v>45526</v>
      </c>
      <c r="B21" s="41" t="s">
        <v>56</v>
      </c>
      <c r="C21" s="41" t="s">
        <v>37</v>
      </c>
      <c r="D21" s="1" t="n">
        <v>1267.71</v>
      </c>
      <c r="E21" s="0" t="s">
        <v>94</v>
      </c>
      <c r="F21" s="42" t="s">
        <v>38</v>
      </c>
    </row>
    <row r="22" customFormat="false" ht="15" hidden="false" customHeight="false" outlineLevel="0" collapsed="false">
      <c r="A22" s="53" t="n">
        <v>45527</v>
      </c>
      <c r="B22" s="41" t="s">
        <v>56</v>
      </c>
      <c r="C22" s="41" t="s">
        <v>37</v>
      </c>
      <c r="D22" s="1" t="n">
        <v>1332.78</v>
      </c>
      <c r="E22" s="0" t="s">
        <v>94</v>
      </c>
      <c r="F22" s="42" t="s">
        <v>39</v>
      </c>
      <c r="G22" s="1" t="n">
        <v>5704.08</v>
      </c>
    </row>
    <row r="23" customFormat="false" ht="15" hidden="false" customHeight="false" outlineLevel="0" collapsed="false">
      <c r="A23" s="53"/>
      <c r="F23" s="42" t="s">
        <v>40</v>
      </c>
    </row>
    <row r="24" customFormat="false" ht="15" hidden="false" customHeight="false" outlineLevel="0" collapsed="false">
      <c r="A24" s="53"/>
      <c r="F24" s="42" t="s">
        <v>41</v>
      </c>
    </row>
    <row r="25" customFormat="false" ht="15" hidden="false" customHeight="false" outlineLevel="0" collapsed="false">
      <c r="A25" s="53"/>
      <c r="F25" s="42" t="s">
        <v>42</v>
      </c>
    </row>
    <row r="26" customFormat="false" ht="15" hidden="false" customHeight="false" outlineLevel="0" collapsed="false">
      <c r="A26" s="53"/>
      <c r="F26" s="42" t="s">
        <v>43</v>
      </c>
    </row>
    <row r="27" customFormat="false" ht="15" hidden="false" customHeight="false" outlineLevel="0" collapsed="false">
      <c r="A27" s="53"/>
      <c r="E27" s="51"/>
      <c r="F27" s="50" t="s">
        <v>86</v>
      </c>
    </row>
    <row r="28" customFormat="false" ht="15" hidden="false" customHeight="false" outlineLevel="0" collapsed="false">
      <c r="A28" s="53"/>
      <c r="F28" s="47" t="s">
        <v>16</v>
      </c>
      <c r="G28" s="1" t="n">
        <f aca="false">SUM(G3:G27)</f>
        <v>14938.25</v>
      </c>
    </row>
    <row r="29" customFormat="false" ht="15" hidden="false" customHeight="false" outlineLevel="0" collapsed="false">
      <c r="A29" s="53"/>
      <c r="E29" s="49"/>
    </row>
    <row r="30" customFormat="false" ht="15" hidden="false" customHeight="false" outlineLevel="0" collapsed="false">
      <c r="A30" s="53"/>
    </row>
    <row r="31" customFormat="false" ht="15" hidden="false" customHeight="false" outlineLevel="0" collapsed="false">
      <c r="A31" s="53"/>
    </row>
    <row r="32" customFormat="false" ht="15" hidden="false" customHeight="false" outlineLevel="0" collapsed="false">
      <c r="A32" s="53"/>
    </row>
    <row r="33" customFormat="false" ht="15" hidden="false" customHeight="false" outlineLevel="0" collapsed="false">
      <c r="A33" s="53"/>
    </row>
    <row r="34" customFormat="false" ht="15" hidden="false" customHeight="false" outlineLevel="0" collapsed="false">
      <c r="A34" s="53"/>
    </row>
    <row r="35" customFormat="false" ht="15" hidden="false" customHeight="false" outlineLevel="0" collapsed="false">
      <c r="A35" s="53"/>
    </row>
    <row r="36" customFormat="false" ht="15" hidden="false" customHeight="false" outlineLevel="0" collapsed="false">
      <c r="A36" s="53"/>
    </row>
    <row r="37" customFormat="false" ht="15" hidden="false" customHeight="false" outlineLevel="0" collapsed="false">
      <c r="A37" s="53"/>
    </row>
    <row r="38" customFormat="false" ht="15" hidden="false" customHeight="false" outlineLevel="0" collapsed="false">
      <c r="A38" s="53"/>
    </row>
    <row r="39" customFormat="false" ht="15" hidden="false" customHeight="false" outlineLevel="0" collapsed="false">
      <c r="A39" s="53"/>
    </row>
    <row r="40" customFormat="false" ht="13.5" hidden="false" customHeight="true" outlineLevel="0" collapsed="false">
      <c r="A40" s="53"/>
    </row>
    <row r="41" customFormat="false" ht="15" hidden="false" customHeight="false" outlineLevel="0" collapsed="false">
      <c r="A41" s="53"/>
    </row>
    <row r="42" customFormat="false" ht="15" hidden="false" customHeight="false" outlineLevel="0" collapsed="false">
      <c r="A42" s="53"/>
    </row>
    <row r="43" customFormat="false" ht="15" hidden="false" customHeight="false" outlineLevel="0" collapsed="false">
      <c r="A43" s="53"/>
    </row>
    <row r="44" customFormat="false" ht="15" hidden="false" customHeight="false" outlineLevel="0" collapsed="false">
      <c r="A44" s="53"/>
    </row>
    <row r="46" customFormat="false" ht="15" hidden="false" customHeight="false" outlineLevel="0" collapsed="false">
      <c r="A46" s="53"/>
    </row>
    <row r="47" customFormat="false" ht="15" hidden="false" customHeight="false" outlineLevel="0" collapsed="false">
      <c r="A47" s="53"/>
    </row>
    <row r="48" customFormat="false" ht="15" hidden="false" customHeight="false" outlineLevel="0" collapsed="false">
      <c r="A48" s="53"/>
    </row>
    <row r="49" customFormat="false" ht="15" hidden="false" customHeight="false" outlineLevel="0" collapsed="false">
      <c r="A49" s="53"/>
    </row>
    <row r="50" customFormat="false" ht="15" hidden="false" customHeight="false" outlineLevel="0" collapsed="false">
      <c r="A50" s="53"/>
    </row>
    <row r="51" customFormat="false" ht="15" hidden="false" customHeight="false" outlineLevel="0" collapsed="false">
      <c r="A51" s="53"/>
    </row>
    <row r="52" customFormat="false" ht="15" hidden="false" customHeight="false" outlineLevel="0" collapsed="false">
      <c r="A52" s="53"/>
    </row>
    <row r="53" customFormat="false" ht="15" hidden="false" customHeight="false" outlineLevel="0" collapsed="false">
      <c r="A53" s="53"/>
    </row>
    <row r="54" customFormat="false" ht="15" hidden="false" customHeight="false" outlineLevel="0" collapsed="false">
      <c r="A54" s="53"/>
    </row>
    <row r="55" customFormat="false" ht="15" hidden="false" customHeight="false" outlineLevel="0" collapsed="false">
      <c r="A55" s="53"/>
    </row>
    <row r="56" customFormat="false" ht="15" hidden="false" customHeight="false" outlineLevel="0" collapsed="false">
      <c r="A56" s="53"/>
    </row>
    <row r="57" customFormat="false" ht="15" hidden="false" customHeight="false" outlineLevel="0" collapsed="false">
      <c r="A57" s="53"/>
    </row>
    <row r="58" customFormat="false" ht="15" hidden="false" customHeight="false" outlineLevel="0" collapsed="false">
      <c r="A58" s="53"/>
    </row>
    <row r="59" customFormat="false" ht="15" hidden="false" customHeight="false" outlineLevel="0" collapsed="false">
      <c r="A59" s="53"/>
    </row>
    <row r="60" customFormat="false" ht="15" hidden="false" customHeight="false" outlineLevel="0" collapsed="false">
      <c r="A60" s="53"/>
    </row>
    <row r="61" customFormat="false" ht="15" hidden="false" customHeight="false" outlineLevel="0" collapsed="false">
      <c r="A61" s="53"/>
    </row>
    <row r="62" customFormat="false" ht="15" hidden="false" customHeight="false" outlineLevel="0" collapsed="false">
      <c r="A62" s="53"/>
    </row>
    <row r="63" customFormat="false" ht="15" hidden="false" customHeight="false" outlineLevel="0" collapsed="false">
      <c r="A63" s="53"/>
    </row>
    <row r="64" customFormat="false" ht="15" hidden="false" customHeight="false" outlineLevel="0" collapsed="false">
      <c r="A64" s="53"/>
    </row>
    <row r="65" customFormat="false" ht="15" hidden="false" customHeight="false" outlineLevel="0" collapsed="false">
      <c r="A65" s="53"/>
    </row>
    <row r="66" customFormat="false" ht="15" hidden="false" customHeight="false" outlineLevel="0" collapsed="false">
      <c r="A66" s="53"/>
    </row>
    <row r="67" customFormat="false" ht="15" hidden="false" customHeight="false" outlineLevel="0" collapsed="false">
      <c r="A67" s="53"/>
    </row>
    <row r="68" customFormat="false" ht="15" hidden="false" customHeight="false" outlineLevel="0" collapsed="false">
      <c r="A68" s="53"/>
    </row>
    <row r="69" customFormat="false" ht="15" hidden="false" customHeight="false" outlineLevel="0" collapsed="false">
      <c r="A69" s="53"/>
    </row>
    <row r="70" customFormat="false" ht="15" hidden="false" customHeight="false" outlineLevel="0" collapsed="false">
      <c r="A70" s="53"/>
    </row>
    <row r="71" customFormat="false" ht="15" hidden="false" customHeight="false" outlineLevel="0" collapsed="false">
      <c r="A71" s="53"/>
    </row>
  </sheetData>
  <printOptions headings="false" gridLines="false" gridLinesSet="true" horizontalCentered="false" verticalCentered="false"/>
  <pageMargins left="0.3" right="0.3" top="1.05416666666667" bottom="0.8875" header="0.7875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/>
  </headerFooter>
</worksheet>
</file>

<file path=docMetadata/LabelInfo.xml><?xml version="1.0" encoding="utf-8"?>
<clbl:labelList xmlns:clbl="http://schemas.microsoft.com/office/2020/mipLabelMetadata">
  <clbl:label id="{3f8a7bc4-e337-47a5-a0fc-0d512c0e05f1}" enabled="0" method="" siteId="{3f8a7bc4-e337-47a5-a0fc-0d512c0e05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LibreOffice/25.2.7.2$Windows_X86_64 LibreOffice_project/5cbfd1ab6520636bb5f7b99185aa69bd7456825d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2019-03-03T01:42:11Z</dcterms:created>
  <dc:creator>Nielson, Tanya</dc:creator>
  <dc:description/>
  <dc:language>en-US</dc:language>
  <cp:lastModifiedBy>Tanya Nielson</cp:lastModifiedBy>
  <cp:lastPrinted>2025-03-30T17:17:03Z</cp:lastPrinted>
  <dcterms:modified xsi:type="dcterms:W3CDTF">2025-04-01T20:17:09Z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